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📚 P1 Prerequisites" sheetId="2" state="visible" r:id="rId2"/>
    <sheet xmlns:r="http://schemas.openxmlformats.org/officeDocument/2006/relationships" name="🌐 P2 Networking" sheetId="3" state="visible" r:id="rId3"/>
    <sheet xmlns:r="http://schemas.openxmlformats.org/officeDocument/2006/relationships" name="🗄 P3 SQL Databases" sheetId="4" state="visible" r:id="rId4"/>
    <sheet xmlns:r="http://schemas.openxmlformats.org/officeDocument/2006/relationships" name="🍃 P4 NoSQL" sheetId="5" state="visible" r:id="rId5"/>
    <sheet xmlns:r="http://schemas.openxmlformats.org/officeDocument/2006/relationships" name="🔌 P5 APIs" sheetId="6" state="visible" r:id="rId6"/>
    <sheet xmlns:r="http://schemas.openxmlformats.org/officeDocument/2006/relationships" name="P6 Core Components" sheetId="7" state="visible" r:id="rId7"/>
    <sheet xmlns:r="http://schemas.openxmlformats.org/officeDocument/2006/relationships" name="📈 P7 Scaling" sheetId="8" state="visible" r:id="rId8"/>
    <sheet xmlns:r="http://schemas.openxmlformats.org/officeDocument/2006/relationships" name="P8 Distributed Sys" sheetId="9" state="visible" r:id="rId9"/>
    <sheet xmlns:r="http://schemas.openxmlformats.org/officeDocument/2006/relationships" name="📨 P9 Async Processing" sheetId="10" state="visible" r:id="rId10"/>
    <sheet xmlns:r="http://schemas.openxmlformats.org/officeDocument/2006/relationships" name="P10 Architecture" sheetId="11" state="visible" r:id="rId11"/>
    <sheet xmlns:r="http://schemas.openxmlformats.org/officeDocument/2006/relationships" name="P11 Reliability" sheetId="12" state="visible" r:id="rId12"/>
    <sheet xmlns:r="http://schemas.openxmlformats.org/officeDocument/2006/relationships" name="P12 Performance" sheetId="13" state="visible" r:id="rId13"/>
    <sheet xmlns:r="http://schemas.openxmlformats.org/officeDocument/2006/relationships" name="P13 Security" sheetId="14" state="visible" r:id="rId14"/>
    <sheet xmlns:r="http://schemas.openxmlformats.org/officeDocument/2006/relationships" name="P14 Observability" sheetId="15" state="visible" r:id="rId15"/>
    <sheet xmlns:r="http://schemas.openxmlformats.org/officeDocument/2006/relationships" name="P15 DevOps" sheetId="16" state="visible" r:id="rId16"/>
    <sheet xmlns:r="http://schemas.openxmlformats.org/officeDocument/2006/relationships" name="P16 Practice Problems" sheetId="17" state="visible" r:id="rId17"/>
    <sheet xmlns:r="http://schemas.openxmlformats.org/officeDocument/2006/relationships" name="SDE2 Extras" sheetId="18" state="visible" r:id="rId18"/>
    <sheet xmlns:r="http://schemas.openxmlformats.org/officeDocument/2006/relationships" name="Weekly Planner" sheetId="19" state="visible" r:id="rId19"/>
    <sheet xmlns:r="http://schemas.openxmlformats.org/officeDocument/2006/relationships" name="Resourc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93C5FD"/>
      <sz val="11"/>
    </font>
    <font>
      <name val="Arial"/>
      <b val="1"/>
      <color rgb="001B2A4A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11827"/>
      <sz val="9"/>
    </font>
    <font>
      <name val="Arial"/>
      <color rgb="006B7280"/>
      <sz val="9"/>
    </font>
    <font>
      <name val="Arial"/>
      <b val="1"/>
      <color rgb="001E40AF"/>
      <sz val="11"/>
    </font>
    <font>
      <name val="Arial"/>
      <b val="1"/>
      <color rgb="000369A1"/>
      <sz val="11"/>
    </font>
    <font>
      <name val="Arial"/>
      <b val="1"/>
      <color rgb="000D9488"/>
      <sz val="11"/>
    </font>
    <font>
      <name val="Arial"/>
      <b val="1"/>
      <color rgb="00D97706"/>
      <sz val="11"/>
    </font>
    <font>
      <name val="Arial"/>
      <b val="1"/>
      <color rgb="00DC2626"/>
      <sz val="11"/>
    </font>
    <font>
      <name val="Arial"/>
      <b val="1"/>
      <color rgb="007C3AED"/>
      <sz val="11"/>
    </font>
    <font>
      <name val="Arial"/>
      <b val="1"/>
      <color rgb="001B2A4A"/>
      <sz val="11"/>
    </font>
    <font>
      <name val="Arial"/>
      <b val="1"/>
      <color rgb="006B7280"/>
      <sz val="10"/>
    </font>
    <font>
      <name val="Arial"/>
      <b val="1"/>
      <color rgb="002563EB"/>
      <sz val="10"/>
    </font>
    <font>
      <name val="Arial"/>
      <b val="1"/>
      <color rgb="0016A34A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color rgb="007C3AED"/>
      <sz val="10"/>
    </font>
    <font>
      <name val="Arial"/>
      <b val="1"/>
      <color rgb="001E40AF"/>
      <sz val="9"/>
    </font>
    <font>
      <name val="Arial"/>
      <b val="1"/>
      <color rgb="000369A1"/>
      <sz val="9"/>
    </font>
    <font>
      <name val="Arial"/>
      <b val="1"/>
      <color rgb="000D9488"/>
      <sz val="9"/>
    </font>
    <font>
      <name val="Arial"/>
      <b val="1"/>
      <color rgb="00059669"/>
      <sz val="9"/>
    </font>
    <font>
      <name val="Arial"/>
      <b val="1"/>
      <color rgb="00D97706"/>
      <sz val="9"/>
    </font>
    <font>
      <name val="Arial"/>
      <b val="1"/>
      <color rgb="00DC2626"/>
      <sz val="9"/>
    </font>
    <font>
      <name val="Arial"/>
      <b val="1"/>
      <color rgb="007C3AED"/>
      <sz val="9"/>
    </font>
    <font>
      <name val="Arial"/>
      <b val="1"/>
      <color rgb="00DB2777"/>
      <sz val="9"/>
    </font>
    <font>
      <name val="Arial"/>
      <b val="1"/>
      <color rgb="00374151"/>
      <sz val="9"/>
    </font>
    <font>
      <name val="Arial"/>
      <i val="1"/>
      <color rgb="007C3AED"/>
      <sz val="9"/>
    </font>
    <font>
      <name val="Arial"/>
      <b val="1"/>
      <color rgb="00FFFFFF"/>
      <sz val="16"/>
    </font>
    <font>
      <name val="Arial"/>
      <i val="1"/>
      <color rgb="001E40AF"/>
      <sz val="9"/>
    </font>
    <font>
      <name val="Arial"/>
      <b val="1"/>
      <color rgb="00FFFFFF"/>
      <sz val="9"/>
    </font>
    <font>
      <name val="Arial"/>
      <color rgb="00111827"/>
      <sz val="8"/>
    </font>
    <font>
      <name val="Arial"/>
      <b val="1"/>
      <color rgb="00111827"/>
      <sz val="8"/>
    </font>
    <font>
      <name val="Arial"/>
      <b val="1"/>
      <color rgb="0016A34A"/>
      <sz val="9"/>
    </font>
    <font>
      <name val="Arial"/>
      <b val="1"/>
      <color rgb="00111827"/>
      <sz val="9"/>
    </font>
    <font>
      <name val="Arial"/>
      <i val="1"/>
      <color rgb="000369A1"/>
      <sz val="9"/>
    </font>
    <font>
      <name val="Arial"/>
      <i val="1"/>
      <color rgb="000D9488"/>
      <sz val="9"/>
    </font>
    <font>
      <name val="Arial"/>
      <i val="1"/>
      <color rgb="00059669"/>
      <sz val="9"/>
    </font>
    <font>
      <name val="Arial"/>
      <i val="1"/>
      <color rgb="00D97706"/>
      <sz val="9"/>
    </font>
    <font>
      <name val="Arial"/>
      <i val="1"/>
      <color rgb="00DC2626"/>
      <sz val="9"/>
    </font>
    <font>
      <name val="Arial"/>
      <i val="1"/>
      <color rgb="00DB2777"/>
      <sz val="9"/>
    </font>
    <font>
      <name val="Arial"/>
      <b val="1"/>
      <color rgb="00FFFFFF"/>
      <sz val="14"/>
    </font>
    <font>
      <name val="Arial"/>
      <i val="1"/>
      <color rgb="00374151"/>
      <sz val="9"/>
    </font>
    <font>
      <name val="Arial"/>
      <i val="1"/>
      <color rgb="006B7280"/>
      <sz val="9"/>
    </font>
    <font>
      <name val="Arial"/>
      <color rgb="000D9488"/>
      <sz val="8"/>
    </font>
  </fonts>
  <fills count="2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BEAFE"/>
      </patternFill>
    </fill>
    <fill>
      <patternFill patternType="solid">
        <fgColor rgb="001E40A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0369A1"/>
      </patternFill>
    </fill>
    <fill>
      <patternFill patternType="solid">
        <fgColor rgb="000D9488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059669"/>
      </patternFill>
    </fill>
    <fill>
      <patternFill patternType="solid">
        <fgColor rgb="00DB2777"/>
      </patternFill>
    </fill>
    <fill>
      <patternFill patternType="solid">
        <fgColor rgb="00374151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15" borderId="0" applyAlignment="1" pivotButton="0" quotePrefix="0" xfId="0">
      <alignment horizontal="left" vertical="center" wrapText="1"/>
    </xf>
    <xf numFmtId="0" fontId="31" fillId="4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left" vertical="center" wrapText="1"/>
    </xf>
    <xf numFmtId="0" fontId="35" fillId="12" borderId="1" applyAlignment="1" pivotButton="0" quotePrefix="0" xfId="0">
      <alignment horizontal="left" vertical="center" wrapText="1"/>
    </xf>
    <xf numFmtId="0" fontId="34" fillId="16" borderId="1" applyAlignment="1" pivotButton="0" quotePrefix="0" xfId="0">
      <alignment horizontal="left" vertical="center" wrapText="1"/>
    </xf>
    <xf numFmtId="0" fontId="34" fillId="16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 wrapText="1"/>
    </xf>
    <xf numFmtId="0" fontId="34" fillId="13" borderId="1" applyAlignment="1" pivotButton="0" quotePrefix="0" xfId="0">
      <alignment horizontal="center" vertical="center" wrapText="1"/>
    </xf>
    <xf numFmtId="0" fontId="34" fillId="13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left" vertical="center" wrapText="1"/>
    </xf>
    <xf numFmtId="0" fontId="34" fillId="14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left" vertical="center" wrapText="1"/>
    </xf>
    <xf numFmtId="0" fontId="35" fillId="14" borderId="1" applyAlignment="1" pivotButton="0" quotePrefix="0" xfId="0">
      <alignment horizontal="left" vertical="center" wrapText="1"/>
    </xf>
    <xf numFmtId="0" fontId="36" fillId="1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 vertical="center"/>
    </xf>
    <xf numFmtId="0" fontId="37" fillId="13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 vertical="center"/>
    </xf>
    <xf numFmtId="0" fontId="38" fillId="5" borderId="0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 wrapText="1"/>
    </xf>
    <xf numFmtId="0" fontId="31" fillId="8" borderId="0" applyAlignment="1" pivotButton="0" quotePrefix="0" xfId="0">
      <alignment horizontal="center" vertical="center"/>
    </xf>
    <xf numFmtId="0" fontId="39" fillId="5" borderId="0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 vertical="center" wrapText="1"/>
    </xf>
    <xf numFmtId="0" fontId="31" fillId="17" borderId="0" applyAlignment="1" pivotButton="0" quotePrefix="0" xfId="0">
      <alignment horizontal="center" vertical="center"/>
    </xf>
    <xf numFmtId="0" fontId="40" fillId="5" borderId="0" applyAlignment="1" pivotButton="0" quotePrefix="0" xfId="0">
      <alignment horizontal="center" vertical="center"/>
    </xf>
    <xf numFmtId="0" fontId="33" fillId="17" borderId="1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/>
    </xf>
    <xf numFmtId="0" fontId="31" fillId="9" borderId="0" applyAlignment="1" pivotButton="0" quotePrefix="0" xfId="0">
      <alignment horizontal="center" vertical="center"/>
    </xf>
    <xf numFmtId="0" fontId="41" fillId="5" borderId="0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 wrapText="1"/>
    </xf>
    <xf numFmtId="0" fontId="31" fillId="10" borderId="0" applyAlignment="1" pivotButton="0" quotePrefix="0" xfId="0">
      <alignment horizontal="center" vertical="center"/>
    </xf>
    <xf numFmtId="0" fontId="42" fillId="5" borderId="0" applyAlignment="1" pivotButton="0" quotePrefix="0" xfId="0">
      <alignment horizontal="center" vertical="center"/>
    </xf>
    <xf numFmtId="0" fontId="33" fillId="10" borderId="1" applyAlignment="1" pivotButton="0" quotePrefix="0" xfId="0">
      <alignment horizontal="center" vertical="center" wrapText="1"/>
    </xf>
    <xf numFmtId="0" fontId="31" fillId="11" borderId="0" applyAlignment="1" pivotButton="0" quotePrefix="0" xfId="0">
      <alignment horizontal="center" vertical="center"/>
    </xf>
    <xf numFmtId="0" fontId="30" fillId="5" borderId="0" applyAlignment="1" pivotButton="0" quotePrefix="0" xfId="0">
      <alignment horizontal="center" vertical="center"/>
    </xf>
    <xf numFmtId="0" fontId="33" fillId="11" borderId="1" applyAlignment="1" pivotButton="0" quotePrefix="0" xfId="0">
      <alignment horizontal="center" vertical="center" wrapText="1"/>
    </xf>
    <xf numFmtId="0" fontId="31" fillId="18" borderId="0" applyAlignment="1" pivotButton="0" quotePrefix="0" xfId="0">
      <alignment horizontal="center" vertical="center"/>
    </xf>
    <xf numFmtId="0" fontId="43" fillId="5" borderId="0" applyAlignment="1" pivotButton="0" quotePrefix="0" xfId="0">
      <alignment horizontal="center" vertical="center"/>
    </xf>
    <xf numFmtId="0" fontId="33" fillId="18" borderId="1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/>
    </xf>
    <xf numFmtId="0" fontId="44" fillId="11" borderId="0" applyAlignment="1" pivotButton="0" quotePrefix="0" xfId="0">
      <alignment horizontal="center" vertical="center"/>
    </xf>
    <xf numFmtId="0" fontId="34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34" fillId="3" borderId="1" applyAlignment="1" pivotButton="0" quotePrefix="0" xfId="0">
      <alignment horizontal="left" vertical="center" wrapText="1"/>
    </xf>
    <xf numFmtId="0" fontId="44" fillId="19" borderId="0" applyAlignment="1" pivotButton="0" quotePrefix="0" xfId="0">
      <alignment horizontal="center" vertical="center"/>
    </xf>
    <xf numFmtId="0" fontId="45" fillId="5" borderId="0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 vertical="center" wrapText="1"/>
    </xf>
    <xf numFmtId="0" fontId="35" fillId="16" borderId="1" applyAlignment="1" pivotButton="0" quotePrefix="0" xfId="0">
      <alignment horizontal="left" vertical="center" wrapText="1"/>
    </xf>
    <xf numFmtId="0" fontId="35" fillId="5" borderId="1" applyAlignment="1" pivotButton="0" quotePrefix="0" xfId="0">
      <alignment horizontal="left" vertical="center" wrapText="1"/>
    </xf>
    <xf numFmtId="0" fontId="44" fillId="2" borderId="0" applyAlignment="1" pivotButton="0" quotePrefix="0" xfId="0">
      <alignment horizontal="center" vertical="center"/>
    </xf>
    <xf numFmtId="0" fontId="46" fillId="5" borderId="0" applyAlignment="1" pivotButton="0" quotePrefix="0" xfId="0">
      <alignment horizontal="center" vertical="center"/>
    </xf>
    <xf numFmtId="0" fontId="3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7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4" fillId="8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7" fillId="16" borderId="1" applyAlignment="1" pivotButton="0" quotePrefix="0" xfId="0">
      <alignment horizontal="left" vertical="center" wrapText="1"/>
    </xf>
    <xf numFmtId="0" fontId="47" fillId="20" borderId="1" applyAlignment="1" pivotButton="0" quotePrefix="0" xfId="0">
      <alignment horizontal="left" vertical="center" wrapText="1"/>
    </xf>
    <xf numFmtId="0" fontId="34" fillId="20" borderId="1" applyAlignment="1" pivotButton="0" quotePrefix="0" xfId="0">
      <alignment horizontal="left" vertical="center" wrapText="1"/>
    </xf>
    <xf numFmtId="0" fontId="34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28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0" customHeight="1"/>
    <row r="2" ht="46" customHeight="1">
      <c r="A2" s="1" t="inlineStr">
        <is>
          <t>🚀 Backend Engineering Learning Tracker — SDE2 Level</t>
        </is>
      </c>
    </row>
    <row r="3" ht="22" customHeight="1">
      <c r="A3" s="2" t="inlineStr">
        <is>
          <t>6-Month Roadmap  |  16 Phases  |  Day-by-Day Tracking  |  ~180 Days</t>
        </is>
      </c>
    </row>
    <row r="5" ht="26" customHeight="1">
      <c r="A5" s="3" t="inlineStr">
        <is>
          <t>📊 OVERALL PROGRESS OVERVIEW</t>
        </is>
      </c>
    </row>
    <row r="7" ht="28" customHeight="1">
      <c r="A7" s="4" t="inlineStr">
        <is>
          <t>Month 1</t>
        </is>
      </c>
      <c r="C7" s="5" t="inlineStr">
        <is>
          <t>Month 2</t>
        </is>
      </c>
      <c r="E7" s="6" t="inlineStr">
        <is>
          <t>Month 3</t>
        </is>
      </c>
      <c r="G7" s="7" t="inlineStr">
        <is>
          <t>Month 4</t>
        </is>
      </c>
      <c r="I7" s="8" t="inlineStr">
        <is>
          <t>Month 5</t>
        </is>
      </c>
      <c r="K7" s="9" t="inlineStr">
        <is>
          <t>Month 6</t>
        </is>
      </c>
    </row>
    <row r="8">
      <c r="A8" s="10" t="inlineStr">
        <is>
          <t>Phases 1–4</t>
        </is>
      </c>
      <c r="C8" s="11" t="inlineStr">
        <is>
          <t>Phases 5–7</t>
        </is>
      </c>
      <c r="E8" s="12" t="inlineStr">
        <is>
          <t>Phases 8–10</t>
        </is>
      </c>
      <c r="G8" s="13" t="inlineStr">
        <is>
          <t>Phases 11–14</t>
        </is>
      </c>
      <c r="I8" s="14" t="inlineStr">
        <is>
          <t>Phase 15 + Tier 1</t>
        </is>
      </c>
      <c r="K8" s="15" t="inlineStr">
        <is>
          <t>Tier 2–4</t>
        </is>
      </c>
    </row>
    <row r="9">
      <c r="A9" s="16" t="inlineStr">
        <is>
          <t>Foundations + Databases</t>
        </is>
      </c>
      <c r="C9" s="16" t="inlineStr">
        <is>
          <t>APIs + Core + Scaling</t>
        </is>
      </c>
      <c r="E9" s="16" t="inlineStr">
        <is>
          <t>Distributed + Async + Arch</t>
        </is>
      </c>
      <c r="G9" s="16" t="inlineStr">
        <is>
          <t>Reliability + Perf + Security</t>
        </is>
      </c>
      <c r="I9" s="16" t="inlineStr">
        <is>
          <t>DevOps + Practice Problems</t>
        </is>
      </c>
      <c r="K9" s="16" t="inlineStr">
        <is>
          <t>Mock Interviews + Full Practice</t>
        </is>
      </c>
    </row>
    <row r="10">
      <c r="A10" s="17" t="inlineStr">
        <is>
          <t>Days Completed:</t>
        </is>
      </c>
      <c r="C10" s="17" t="inlineStr">
        <is>
          <t>Days Completed:</t>
        </is>
      </c>
      <c r="E10" s="17" t="inlineStr">
        <is>
          <t>Days Completed:</t>
        </is>
      </c>
      <c r="G10" s="17" t="inlineStr">
        <is>
          <t>Days Completed:</t>
        </is>
      </c>
      <c r="I10" s="17" t="inlineStr">
        <is>
          <t>Days Completed:</t>
        </is>
      </c>
      <c r="K10" s="17" t="inlineStr">
        <is>
          <t>Days Completed:</t>
        </is>
      </c>
    </row>
    <row r="11">
      <c r="A11" s="18" t="inlineStr">
        <is>
          <t>0 / 30</t>
        </is>
      </c>
      <c r="C11" s="19" t="inlineStr">
        <is>
          <t>0 / 30</t>
        </is>
      </c>
      <c r="E11" s="20" t="inlineStr">
        <is>
          <t>0 / 30</t>
        </is>
      </c>
      <c r="G11" s="21" t="inlineStr">
        <is>
          <t>0 / 30</t>
        </is>
      </c>
      <c r="I11" s="22" t="inlineStr">
        <is>
          <t>0 / 30</t>
        </is>
      </c>
      <c r="K11" s="23" t="inlineStr">
        <is>
          <t>0 / 30</t>
        </is>
      </c>
    </row>
    <row r="13" ht="24" customHeight="1">
      <c r="A13" s="24" t="inlineStr">
        <is>
          <t>📋 STATUS LEGEND — Use these exact values in all tracking sheets</t>
        </is>
      </c>
    </row>
    <row r="14" ht="24" customHeight="1">
      <c r="A14" s="25" t="inlineStr">
        <is>
          <t>⬜ Not Started</t>
        </is>
      </c>
      <c r="C14" s="26" t="inlineStr">
        <is>
          <t>🔵 In Progress</t>
        </is>
      </c>
      <c r="E14" s="27" t="inlineStr">
        <is>
          <t>✅ Completed</t>
        </is>
      </c>
      <c r="G14" s="28" t="inlineStr">
        <is>
          <t>⏭️ Skipped</t>
        </is>
      </c>
      <c r="I14" s="29" t="inlineStr">
        <is>
          <t>🔄 Revisit</t>
        </is>
      </c>
      <c r="K14" s="30" t="inlineStr">
        <is>
          <t>⭐ Mastered</t>
        </is>
      </c>
    </row>
    <row r="16" ht="26" customHeight="1">
      <c r="A16" s="3" t="inlineStr">
        <is>
          <t>🗺️ PHASE ROADMAP INDEX</t>
        </is>
      </c>
    </row>
    <row r="17">
      <c r="A17" s="31" t="inlineStr">
        <is>
          <t>Phase</t>
        </is>
      </c>
      <c r="B17" s="31" t="inlineStr">
        <is>
          <t>Name</t>
        </is>
      </c>
      <c r="C17" s="31" t="inlineStr">
        <is>
          <t>Month</t>
        </is>
      </c>
      <c r="D17" s="31" t="inlineStr">
        <is>
          <t>Duration</t>
        </is>
      </c>
      <c r="E17" s="31" t="inlineStr">
        <is>
          <t>Key Skill</t>
        </is>
      </c>
      <c r="F17" s="31" t="inlineStr">
        <is>
          <t>SDE2 Relevance</t>
        </is>
      </c>
      <c r="G17" s="31" t="inlineStr">
        <is>
          <t>Sheet Link</t>
        </is>
      </c>
    </row>
    <row r="18" ht="20" customHeight="1">
      <c r="A18" s="32" t="inlineStr">
        <is>
          <t>P1</t>
        </is>
      </c>
      <c r="B18" s="33" t="inlineStr">
        <is>
          <t>Prerequisites</t>
        </is>
      </c>
      <c r="C18" s="34" t="inlineStr">
        <is>
          <t>Month 1</t>
        </is>
      </c>
      <c r="D18" s="34" t="inlineStr">
        <is>
          <t>1–2 weeks</t>
        </is>
      </c>
      <c r="E18" s="33" t="inlineStr">
        <is>
          <t>Python/Java + DS + Git + Linux</t>
        </is>
      </c>
      <c r="F18" s="33" t="inlineStr">
        <is>
          <t>Foundation for every SDE2 task</t>
        </is>
      </c>
      <c r="G18" s="34" t="inlineStr">
        <is>
          <t>→ See Sheet</t>
        </is>
      </c>
    </row>
    <row r="19" ht="20" customHeight="1">
      <c r="A19" s="35" t="inlineStr">
        <is>
          <t>P2</t>
        </is>
      </c>
      <c r="B19" s="36" t="inlineStr">
        <is>
          <t>Networking</t>
        </is>
      </c>
      <c r="C19" s="37" t="inlineStr">
        <is>
          <t>Month 1</t>
        </is>
      </c>
      <c r="D19" s="37" t="inlineStr">
        <is>
          <t>1–2 weeks</t>
        </is>
      </c>
      <c r="E19" s="36" t="inlineStr">
        <is>
          <t>HTTP/TCP/DNS/Proxies</t>
        </is>
      </c>
      <c r="F19" s="36" t="inlineStr">
        <is>
          <t>Debug prod issues, design APIs</t>
        </is>
      </c>
      <c r="G19" s="37" t="inlineStr">
        <is>
          <t>→ See Sheet</t>
        </is>
      </c>
    </row>
    <row r="20" ht="20" customHeight="1">
      <c r="A20" s="38" t="inlineStr">
        <is>
          <t>P3</t>
        </is>
      </c>
      <c r="B20" s="33" t="inlineStr">
        <is>
          <t>SQL Databases</t>
        </is>
      </c>
      <c r="C20" s="34" t="inlineStr">
        <is>
          <t>Month 1</t>
        </is>
      </c>
      <c r="D20" s="34" t="inlineStr">
        <is>
          <t>2 weeks</t>
        </is>
      </c>
      <c r="E20" s="33" t="inlineStr">
        <is>
          <t>ACID, Indexes, Transactions</t>
        </is>
      </c>
      <c r="F20" s="33" t="inlineStr">
        <is>
          <t>Every backend service uses SQL</t>
        </is>
      </c>
      <c r="G20" s="34" t="inlineStr">
        <is>
          <t>→ See Sheet</t>
        </is>
      </c>
    </row>
    <row r="21" ht="20" customHeight="1">
      <c r="A21" s="39" t="inlineStr">
        <is>
          <t>P4</t>
        </is>
      </c>
      <c r="B21" s="36" t="inlineStr">
        <is>
          <t>NoSQL Databases</t>
        </is>
      </c>
      <c r="C21" s="37" t="inlineStr">
        <is>
          <t>Month 1</t>
        </is>
      </c>
      <c r="D21" s="37" t="inlineStr">
        <is>
          <t>1–2 weeks</t>
        </is>
      </c>
      <c r="E21" s="36" t="inlineStr">
        <is>
          <t>Redis, Cassandra, MongoDB</t>
        </is>
      </c>
      <c r="F21" s="36" t="inlineStr">
        <is>
          <t>Cache layers, flexible storage</t>
        </is>
      </c>
      <c r="G21" s="37" t="inlineStr">
        <is>
          <t>→ See Sheet</t>
        </is>
      </c>
    </row>
    <row r="22" ht="20" customHeight="1">
      <c r="A22" s="40" t="inlineStr">
        <is>
          <t>P5</t>
        </is>
      </c>
      <c r="B22" s="33" t="inlineStr">
        <is>
          <t>APIs &amp; Communication</t>
        </is>
      </c>
      <c r="C22" s="34" t="inlineStr">
        <is>
          <t>Month 2</t>
        </is>
      </c>
      <c r="D22" s="34" t="inlineStr">
        <is>
          <t>1–2 weeks</t>
        </is>
      </c>
      <c r="E22" s="33" t="inlineStr">
        <is>
          <t>REST, GraphQL, gRPC, WebSockets</t>
        </is>
      </c>
      <c r="F22" s="33" t="inlineStr">
        <is>
          <t>Build and consume APIs daily</t>
        </is>
      </c>
      <c r="G22" s="34" t="inlineStr">
        <is>
          <t>→ See Sheet</t>
        </is>
      </c>
    </row>
    <row r="23" ht="20" customHeight="1">
      <c r="A23" s="41" t="inlineStr">
        <is>
          <t>P6</t>
        </is>
      </c>
      <c r="B23" s="36" t="inlineStr">
        <is>
          <t>Core Components</t>
        </is>
      </c>
      <c r="C23" s="37" t="inlineStr">
        <is>
          <t>Month 2</t>
        </is>
      </c>
      <c r="D23" s="37" t="inlineStr">
        <is>
          <t>2 weeks</t>
        </is>
      </c>
      <c r="E23" s="36" t="inlineStr">
        <is>
          <t>Load Balancers, CDN, Caching</t>
        </is>
      </c>
      <c r="F23" s="36" t="inlineStr">
        <is>
          <t>Core infra every SDE2 uses</t>
        </is>
      </c>
      <c r="G23" s="37" t="inlineStr">
        <is>
          <t>→ See Sheet</t>
        </is>
      </c>
    </row>
    <row r="24" ht="20" customHeight="1">
      <c r="A24" s="42" t="inlineStr">
        <is>
          <t>P7</t>
        </is>
      </c>
      <c r="B24" s="33" t="inlineStr">
        <is>
          <t>Scaling Fundamentals</t>
        </is>
      </c>
      <c r="C24" s="34" t="inlineStr">
        <is>
          <t>Month 2</t>
        </is>
      </c>
      <c r="D24" s="34" t="inlineStr">
        <is>
          <t>2 weeks</t>
        </is>
      </c>
      <c r="E24" s="33" t="inlineStr">
        <is>
          <t>Replication, Sharding, Hashing</t>
        </is>
      </c>
      <c r="F24" s="33" t="inlineStr">
        <is>
          <t>Design for 10x traffic growth</t>
        </is>
      </c>
      <c r="G24" s="34" t="inlineStr">
        <is>
          <t>→ See Sheet</t>
        </is>
      </c>
    </row>
    <row r="25" ht="20" customHeight="1">
      <c r="A25" s="43" t="inlineStr">
        <is>
          <t>P8</t>
        </is>
      </c>
      <c r="B25" s="36" t="inlineStr">
        <is>
          <t>Distributed Systems</t>
        </is>
      </c>
      <c r="C25" s="37" t="inlineStr">
        <is>
          <t>Month 3</t>
        </is>
      </c>
      <c r="D25" s="37" t="inlineStr">
        <is>
          <t>3–4 weeks</t>
        </is>
      </c>
      <c r="E25" s="36" t="inlineStr">
        <is>
          <t>CAP, Raft, Vector Clocks</t>
        </is>
      </c>
      <c r="F25" s="36" t="inlineStr">
        <is>
          <t>SDE2 design interviews</t>
        </is>
      </c>
      <c r="G25" s="37" t="inlineStr">
        <is>
          <t>→ See Sheet</t>
        </is>
      </c>
    </row>
    <row r="26" ht="20" customHeight="1">
      <c r="A26" s="44" t="inlineStr">
        <is>
          <t>P9</t>
        </is>
      </c>
      <c r="B26" s="33" t="inlineStr">
        <is>
          <t>Async Processing</t>
        </is>
      </c>
      <c r="C26" s="34" t="inlineStr">
        <is>
          <t>Month 3</t>
        </is>
      </c>
      <c r="D26" s="34" t="inlineStr">
        <is>
          <t>2–3 weeks</t>
        </is>
      </c>
      <c r="E26" s="33" t="inlineStr">
        <is>
          <t>Kafka, Queues, Event Sourcing</t>
        </is>
      </c>
      <c r="F26" s="33" t="inlineStr">
        <is>
          <t>Decouple services, handle spikes</t>
        </is>
      </c>
      <c r="G26" s="34" t="inlineStr">
        <is>
          <t>→ See Sheet</t>
        </is>
      </c>
    </row>
    <row r="27" ht="20" customHeight="1">
      <c r="A27" s="45" t="inlineStr">
        <is>
          <t>P10</t>
        </is>
      </c>
      <c r="B27" s="36" t="inlineStr">
        <is>
          <t>Architecture Patterns</t>
        </is>
      </c>
      <c r="C27" s="37" t="inlineStr">
        <is>
          <t>Month 3</t>
        </is>
      </c>
      <c r="D27" s="37" t="inlineStr">
        <is>
          <t>2 weeks</t>
        </is>
      </c>
      <c r="E27" s="36" t="inlineStr">
        <is>
          <t>Microservices, Saga, DDD, BFF</t>
        </is>
      </c>
      <c r="F27" s="36" t="inlineStr">
        <is>
          <t>Design real systems at SDE2</t>
        </is>
      </c>
      <c r="G27" s="37" t="inlineStr">
        <is>
          <t>→ See Sheet</t>
        </is>
      </c>
    </row>
    <row r="28" ht="20" customHeight="1">
      <c r="A28" s="46" t="inlineStr">
        <is>
          <t>P11</t>
        </is>
      </c>
      <c r="B28" s="33" t="inlineStr">
        <is>
          <t>Reliability</t>
        </is>
      </c>
      <c r="C28" s="34" t="inlineStr">
        <is>
          <t>Month 4</t>
        </is>
      </c>
      <c r="D28" s="34" t="inlineStr">
        <is>
          <t>1–2 weeks</t>
        </is>
      </c>
      <c r="E28" s="33" t="inlineStr">
        <is>
          <t>Circuit Breakers, Idempotency, DR</t>
        </is>
      </c>
      <c r="F28" s="33" t="inlineStr">
        <is>
          <t>Production readiness at SDE2</t>
        </is>
      </c>
      <c r="G28" s="34" t="inlineStr">
        <is>
          <t>→ See Sheet</t>
        </is>
      </c>
    </row>
    <row r="29" ht="20" customHeight="1">
      <c r="A29" s="41" t="inlineStr">
        <is>
          <t>P12</t>
        </is>
      </c>
      <c r="B29" s="36" t="inlineStr">
        <is>
          <t>Performance</t>
        </is>
      </c>
      <c r="C29" s="37" t="inlineStr">
        <is>
          <t>Month 4</t>
        </is>
      </c>
      <c r="D29" s="37" t="inlineStr">
        <is>
          <t>1 week</t>
        </is>
      </c>
      <c r="E29" s="36" t="inlineStr">
        <is>
          <t>P99 Latency, Profiling, N+1</t>
        </is>
      </c>
      <c r="F29" s="36" t="inlineStr">
        <is>
          <t>Optimization SDE2 interviews</t>
        </is>
      </c>
      <c r="G29" s="37" t="inlineStr">
        <is>
          <t>→ See Sheet</t>
        </is>
      </c>
    </row>
    <row r="30" ht="20" customHeight="1">
      <c r="A30" s="44" t="inlineStr">
        <is>
          <t>P13</t>
        </is>
      </c>
      <c r="B30" s="33" t="inlineStr">
        <is>
          <t>Security</t>
        </is>
      </c>
      <c r="C30" s="34" t="inlineStr">
        <is>
          <t>Month 4</t>
        </is>
      </c>
      <c r="D30" s="34" t="inlineStr">
        <is>
          <t>1–2 weeks</t>
        </is>
      </c>
      <c r="E30" s="33" t="inlineStr">
        <is>
          <t>OAuth, JWT, Rate Limiting, TLS</t>
        </is>
      </c>
      <c r="F30" s="33" t="inlineStr">
        <is>
          <t>Every prod system needs this</t>
        </is>
      </c>
      <c r="G30" s="34" t="inlineStr">
        <is>
          <t>→ See Sheet</t>
        </is>
      </c>
    </row>
    <row r="31" ht="20" customHeight="1">
      <c r="A31" s="39" t="inlineStr">
        <is>
          <t>P14</t>
        </is>
      </c>
      <c r="B31" s="36" t="inlineStr">
        <is>
          <t>Observability</t>
        </is>
      </c>
      <c r="C31" s="37" t="inlineStr">
        <is>
          <t>Month 4</t>
        </is>
      </c>
      <c r="D31" s="37" t="inlineStr">
        <is>
          <t>1 week</t>
        </is>
      </c>
      <c r="E31" s="36" t="inlineStr">
        <is>
          <t>Logs, Metrics, Tracing, SLO</t>
        </is>
      </c>
      <c r="F31" s="36" t="inlineStr">
        <is>
          <t>On-call readiness at SDE2</t>
        </is>
      </c>
      <c r="G31" s="37" t="inlineStr">
        <is>
          <t>→ See Sheet</t>
        </is>
      </c>
    </row>
    <row r="32" ht="20" customHeight="1">
      <c r="A32" s="38" t="inlineStr">
        <is>
          <t>P15</t>
        </is>
      </c>
      <c r="B32" s="33" t="inlineStr">
        <is>
          <t>DevOps &amp; Infrastructure</t>
        </is>
      </c>
      <c r="C32" s="34" t="inlineStr">
        <is>
          <t>Month 5</t>
        </is>
      </c>
      <c r="D32" s="34" t="inlineStr">
        <is>
          <t>2 weeks</t>
        </is>
      </c>
      <c r="E32" s="33" t="inlineStr">
        <is>
          <t>Docker, K8s, CI/CD, Terraform</t>
        </is>
      </c>
      <c r="F32" s="33" t="inlineStr">
        <is>
          <t>SDE2 owns deploys</t>
        </is>
      </c>
      <c r="G32" s="34" t="inlineStr">
        <is>
          <t>→ See Sheet</t>
        </is>
      </c>
    </row>
    <row r="33" ht="20" customHeight="1">
      <c r="A33" s="45" t="inlineStr">
        <is>
          <t>P16</t>
        </is>
      </c>
      <c r="B33" s="36" t="inlineStr">
        <is>
          <t>Practice Problems</t>
        </is>
      </c>
      <c r="C33" s="37" t="inlineStr">
        <is>
          <t>Month 5–6</t>
        </is>
      </c>
      <c r="D33" s="37" t="inlineStr">
        <is>
          <t>Ongoing</t>
        </is>
      </c>
      <c r="E33" s="36" t="inlineStr">
        <is>
          <t>URL shortener → YouTube → Uber</t>
        </is>
      </c>
      <c r="F33" s="36" t="inlineStr">
        <is>
          <t>Interview simulation</t>
        </is>
      </c>
      <c r="G33" s="37" t="inlineStr">
        <is>
          <t>→ See Sheet</t>
        </is>
      </c>
    </row>
    <row r="34" ht="20" customHeight="1">
      <c r="A34" s="47" t="inlineStr">
        <is>
          <t>EXTRA</t>
        </is>
      </c>
      <c r="B34" s="33" t="inlineStr">
        <is>
          <t>SDE2 Extras (Beyond PDF)</t>
        </is>
      </c>
      <c r="C34" s="34" t="inlineStr">
        <is>
          <t>All Months</t>
        </is>
      </c>
      <c r="D34" s="34" t="inlineStr">
        <is>
          <t>Throughout</t>
        </is>
      </c>
      <c r="E34" s="33" t="inlineStr">
        <is>
          <t>System Design Reviews, Coding</t>
        </is>
      </c>
      <c r="F34" s="33" t="inlineStr">
        <is>
          <t>Gap topics for SDE2 level</t>
        </is>
      </c>
      <c r="G34" s="34" t="inlineStr">
        <is>
          <t>→ See Sheet</t>
        </is>
      </c>
    </row>
    <row r="36" ht="36" customHeight="1">
      <c r="A36" s="48" t="inlineStr">
        <is>
          <t>⚡ SDE2 EXTRAS ADDED (Not in original PDF): System Design Mock Reviews | Low-Level Design (LLD) | Coding Practice (LeetCode M/H) | Behavioral / Leadership Principles | Estimation / Back-of-Envelope Math | Reading Production Incident Reports | OSS Contribution Practice</t>
        </is>
      </c>
    </row>
  </sheetData>
  <mergeCells count="42">
    <mergeCell ref="A16:L16"/>
    <mergeCell ref="A11:B11"/>
    <mergeCell ref="G11:H11"/>
    <mergeCell ref="I11:J11"/>
    <mergeCell ref="K9:L9"/>
    <mergeCell ref="C14:D14"/>
    <mergeCell ref="E14:F14"/>
    <mergeCell ref="G8:H8"/>
    <mergeCell ref="A3:L3"/>
    <mergeCell ref="E8:F8"/>
    <mergeCell ref="A2:L2"/>
    <mergeCell ref="K11:L11"/>
    <mergeCell ref="C10:D10"/>
    <mergeCell ref="A7:B7"/>
    <mergeCell ref="G7:H7"/>
    <mergeCell ref="E10:F10"/>
    <mergeCell ref="I7:J7"/>
    <mergeCell ref="G10:H10"/>
    <mergeCell ref="A5:L5"/>
    <mergeCell ref="C9:D9"/>
    <mergeCell ref="E9:F9"/>
    <mergeCell ref="K8:L8"/>
    <mergeCell ref="C11:D11"/>
    <mergeCell ref="E11:F11"/>
    <mergeCell ref="A13:L13"/>
    <mergeCell ref="A14:B14"/>
    <mergeCell ref="G14:H14"/>
    <mergeCell ref="I8:J8"/>
    <mergeCell ref="I14:J14"/>
    <mergeCell ref="A8:B8"/>
    <mergeCell ref="K14:L14"/>
    <mergeCell ref="C8:D8"/>
    <mergeCell ref="K7:L7"/>
    <mergeCell ref="C7:D7"/>
    <mergeCell ref="E7:F7"/>
    <mergeCell ref="I10:J10"/>
    <mergeCell ref="A10:B10"/>
    <mergeCell ref="K10:L10"/>
    <mergeCell ref="A36:L36"/>
    <mergeCell ref="A9:B9"/>
    <mergeCell ref="G9:H9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49" t="inlineStr">
        <is>
          <t>Phase 1: Prerequisites  |  Month 1 (Days 1–12)</t>
        </is>
      </c>
    </row>
    <row r="2" ht="20" customHeight="1">
      <c r="A2" s="50" t="inlineStr">
        <is>
          <t>📝 Update STATUS column daily. Use: ⬜ Not Started | 🔵 In Progress | ✅ Completed | 🔄 Revisit | ⭐ Mastered</t>
        </is>
      </c>
    </row>
    <row r="3" ht="32" customHeight="1">
      <c r="A3" s="51" t="inlineStr">
        <is>
          <t>Day</t>
        </is>
      </c>
      <c r="B3" s="51" t="inlineStr">
        <is>
          <t>Date</t>
        </is>
      </c>
      <c r="C3" s="51" t="inlineStr">
        <is>
          <t>Topic</t>
        </is>
      </c>
      <c r="D3" s="51" t="inlineStr">
        <is>
          <t>Subtopics / Concepts</t>
        </is>
      </c>
      <c r="E3" s="51" t="inlineStr">
        <is>
          <t>Daily Task / Exercise</t>
        </is>
      </c>
      <c r="F3" s="51" t="inlineStr">
        <is>
          <t>Resource</t>
        </is>
      </c>
      <c r="G3" s="51" t="inlineStr">
        <is>
          <t>Mini Project / Output</t>
        </is>
      </c>
      <c r="H3" s="51" t="inlineStr">
        <is>
          <t>Status</t>
        </is>
      </c>
      <c r="I3" s="51" t="inlineStr">
        <is>
          <t>Confidence
(1–5)</t>
        </is>
      </c>
      <c r="J3" s="51" t="inlineStr">
        <is>
          <t>Time
Spent (hr)</t>
        </is>
      </c>
      <c r="K3" s="51" t="inlineStr">
        <is>
          <t>Notes / Blockers</t>
        </is>
      </c>
    </row>
    <row r="4" ht="42" customHeight="1">
      <c r="A4" s="52" t="n">
        <v>1</v>
      </c>
      <c r="B4" s="53" t="inlineStr">
        <is>
          <t>Day 1</t>
        </is>
      </c>
      <c r="C4" s="54" t="inlineStr">
        <is>
          <t>Programming Foundations</t>
        </is>
      </c>
      <c r="D4" s="55" t="inlineStr">
        <is>
          <t>Pick Python or Java/Go/JS. Variables, control flow, functions, I/O. Big O notation intro.</t>
        </is>
      </c>
      <c r="E4" s="55" t="inlineStr">
        <is>
          <t>Write 5 functions: fizzbuzz, reverse string, count words, is palindrome, two-sum</t>
        </is>
      </c>
      <c r="F4" s="55" t="inlineStr">
        <is>
          <t>freeCodeCamp YouTube (Python/Java full course)</t>
        </is>
      </c>
      <c r="G4" s="55" t="inlineStr">
        <is>
          <t>CLI calculator in chosen language</t>
        </is>
      </c>
      <c r="H4" s="56" t="inlineStr">
        <is>
          <t>⬜ Not Started</t>
        </is>
      </c>
      <c r="I4" s="56" t="inlineStr"/>
      <c r="J4" s="56" t="inlineStr"/>
      <c r="K4" s="55" t="inlineStr">
        <is>
          <t>Start with Python if unsure — fastest iteration</t>
        </is>
      </c>
    </row>
    <row r="5" ht="42" customHeight="1">
      <c r="A5" s="52" t="n">
        <v>2</v>
      </c>
      <c r="B5" s="53" t="inlineStr">
        <is>
          <t>Day 2</t>
        </is>
      </c>
      <c r="C5" s="54" t="inlineStr">
        <is>
          <t>Data Structures — Arrays &amp; Hash Maps</t>
        </is>
      </c>
      <c r="D5" s="57" t="inlineStr">
        <is>
          <t>Arrays (static vs dynamic), hash maps (collision, load factor, O(1) lookup), sets</t>
        </is>
      </c>
      <c r="E5" s="57" t="inlineStr">
        <is>
          <t>LeetCode: Two Sum, Valid Anagram, Group Anagrams — solve all 3</t>
        </is>
      </c>
      <c r="F5" s="57" t="inlineStr">
        <is>
          <t>MIT 6.006 Lecture 1–2 (YouTube)</t>
        </is>
      </c>
      <c r="G5" s="57" t="inlineStr">
        <is>
          <t>Build a frequency counter (word count from a file)</t>
        </is>
      </c>
      <c r="H5" s="58" t="inlineStr">
        <is>
          <t>⬜ Not Started</t>
        </is>
      </c>
      <c r="I5" s="58" t="inlineStr"/>
      <c r="J5" s="58" t="inlineStr"/>
      <c r="K5" s="57" t="inlineStr">
        <is>
          <t>Understand WHY hash map is O(1) avg</t>
        </is>
      </c>
    </row>
    <row r="6" ht="42" customHeight="1">
      <c r="A6" s="52" t="n">
        <v>3</v>
      </c>
      <c r="B6" s="53" t="inlineStr">
        <is>
          <t>Day 3</t>
        </is>
      </c>
      <c r="C6" s="54" t="inlineStr">
        <is>
          <t>Data Structures — Linked Lists &amp; Stacks</t>
        </is>
      </c>
      <c r="D6" s="55" t="inlineStr">
        <is>
          <t>Singly/doubly linked list, stack (LIFO), queue (FIFO), deque. Time complexities.</t>
        </is>
      </c>
      <c r="E6" s="55" t="inlineStr">
        <is>
          <t>LeetCode: Reverse Linked List, Valid Parentheses, Min Stack</t>
        </is>
      </c>
      <c r="F6" s="55" t="inlineStr">
        <is>
          <t>MIT 6.006 Lecture 3</t>
        </is>
      </c>
      <c r="G6" s="55" t="inlineStr">
        <is>
          <t>Implement stack using array + linked list from scratch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59" t="n">
        <v>4</v>
      </c>
      <c r="B7" s="60" t="inlineStr">
        <is>
          <t>Day 4</t>
        </is>
      </c>
      <c r="C7" s="61" t="inlineStr">
        <is>
          <t>Data Structures — Trees &amp; Binary Search</t>
        </is>
      </c>
      <c r="D7" s="57" t="inlineStr">
        <is>
          <t>Binary tree, BST (insert/search/delete), tree traversals (inorder, preorder, postorder), height</t>
        </is>
      </c>
      <c r="E7" s="57" t="inlineStr">
        <is>
          <t>LeetCode: Maximum Depth of Binary Tree, Inorder Traversal, Validate BST</t>
        </is>
      </c>
      <c r="F7" s="57" t="inlineStr">
        <is>
          <t>MIT 6.006 Lecture 4–5</t>
        </is>
      </c>
      <c r="G7" s="57" t="inlineStr">
        <is>
          <t>Build a BST class with insert, search, delete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9" t="n">
        <v>5</v>
      </c>
      <c r="B8" s="60" t="inlineStr">
        <is>
          <t>Day 5</t>
        </is>
      </c>
      <c r="C8" s="61" t="inlineStr">
        <is>
          <t>Data Structures — Graphs</t>
        </is>
      </c>
      <c r="D8" s="55" t="inlineStr">
        <is>
          <t>Graph representations (adjacency list/matrix), BFS, DFS, cycle detection, topological sort</t>
        </is>
      </c>
      <c r="E8" s="55" t="inlineStr">
        <is>
          <t>LeetCode: Number of Islands, Clone Graph, Course Schedule</t>
        </is>
      </c>
      <c r="F8" s="55" t="inlineStr">
        <is>
          <t>MIT 6.006 Lecture 13–14</t>
        </is>
      </c>
      <c r="G8" s="55" t="inlineStr">
        <is>
          <t>Implement BFS and DFS on a social network graph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6</v>
      </c>
      <c r="B9" s="60" t="inlineStr">
        <is>
          <t>Day 6</t>
        </is>
      </c>
      <c r="C9" s="61" t="inlineStr">
        <is>
          <t>OOP Principles</t>
        </is>
      </c>
      <c r="D9" s="57" t="inlineStr">
        <is>
          <t>Classes, objects, encapsulation, inheritance, polymorphism, abstraction, interfaces, SOLID principles</t>
        </is>
      </c>
      <c r="E9" s="57" t="inlineStr">
        <is>
          <t>Design a 'Library Management System' using OOP — Book, Member, Loan classes</t>
        </is>
      </c>
      <c r="F9" s="57" t="inlineStr">
        <is>
          <t>refactoring.guru/design-patterns (free)</t>
        </is>
      </c>
      <c r="G9" s="57" t="inlineStr">
        <is>
          <t>Library system with borrow/return logic</t>
        </is>
      </c>
      <c r="H9" s="58" t="inlineStr">
        <is>
          <t>⬜ Not Started</t>
        </is>
      </c>
      <c r="I9" s="58" t="inlineStr"/>
      <c r="J9" s="58" t="inlineStr"/>
      <c r="K9" s="57" t="inlineStr">
        <is>
          <t>SOLID: focus on Single Responsibility and Open/Closed</t>
        </is>
      </c>
    </row>
    <row r="10" ht="42" customHeight="1">
      <c r="A10" s="59" t="n">
        <v>7</v>
      </c>
      <c r="B10" s="60" t="inlineStr">
        <is>
          <t>Day 7</t>
        </is>
      </c>
      <c r="C10" s="61" t="inlineStr">
        <is>
          <t>Design Patterns (Creational)</t>
        </is>
      </c>
      <c r="D10" s="55" t="inlineStr">
        <is>
          <t>Singleton, Factory, Abstract Factory, Builder, Prototype. When to use each.</t>
        </is>
      </c>
      <c r="E10" s="55" t="inlineStr">
        <is>
          <t>Implement Singleton (thread-safe), Factory (shape creator), Builder (query builder)</t>
        </is>
      </c>
      <c r="F10" s="55" t="inlineStr">
        <is>
          <t>refactoring.guru (free)</t>
        </is>
      </c>
      <c r="G10" s="55" t="inlineStr">
        <is>
          <t>Database connection pool using Singleton pattern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59" t="n">
        <v>8</v>
      </c>
      <c r="B11" s="60" t="inlineStr">
        <is>
          <t>Day 8</t>
        </is>
      </c>
      <c r="C11" s="61" t="inlineStr">
        <is>
          <t>Design Patterns (Behavioral + Structural)</t>
        </is>
      </c>
      <c r="D11" s="57" t="inlineStr">
        <is>
          <t>Observer, Strategy, Decorator, Adapter, Command, Template Method</t>
        </is>
      </c>
      <c r="E11" s="57" t="inlineStr">
        <is>
          <t>Implement Observer (event system), Strategy (payment methods), Decorator (logging wrapper)</t>
        </is>
      </c>
      <c r="F11" s="57" t="inlineStr">
        <is>
          <t>refactoring.guru (free)</t>
        </is>
      </c>
      <c r="G11" s="57" t="inlineStr">
        <is>
          <t>Notification system using Observer pattern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2" t="n">
        <v>9</v>
      </c>
      <c r="B12" s="53" t="inlineStr">
        <is>
          <t>Day 9</t>
        </is>
      </c>
      <c r="C12" s="54" t="inlineStr">
        <is>
          <t>Git Fundamentals</t>
        </is>
      </c>
      <c r="D12" s="55" t="inlineStr">
        <is>
          <t>clone, branch, merge, rebase, cherry-pick, stash, reset vs revert, conflicts, pull requests, git flow</t>
        </is>
      </c>
      <c r="E12" s="55" t="inlineStr">
        <is>
          <t>Create a repo, make 3 branches, simulate a conflict and resolve it, do an interactive rebase</t>
        </is>
      </c>
      <c r="F12" s="55" t="inlineStr">
        <is>
          <t>Pro Git book (free at git-scm.com)</t>
        </is>
      </c>
      <c r="G12" s="55" t="inlineStr">
        <is>
          <t>Maintain your learning repo with proper commits</t>
        </is>
      </c>
      <c r="H12" s="56" t="inlineStr">
        <is>
          <t>⬜ Not Started</t>
        </is>
      </c>
      <c r="I12" s="56" t="inlineStr"/>
      <c r="J12" s="56" t="inlineStr"/>
      <c r="K12" s="55" t="inlineStr">
        <is>
          <t>Commit daily — habit building</t>
        </is>
      </c>
    </row>
    <row r="13" ht="42" customHeight="1">
      <c r="A13" s="52" t="n">
        <v>10</v>
      </c>
      <c r="B13" s="53" t="inlineStr">
        <is>
          <t>Day 10</t>
        </is>
      </c>
      <c r="C13" s="54" t="inlineStr">
        <is>
          <t>Linux Command Line</t>
        </is>
      </c>
      <c r="D13" s="57" t="inlineStr">
        <is>
          <t>cd, ls, grep, awk, sed, ssh, chmod, ps, top, kill, curl, tar, find, xargs, pipes, redirects</t>
        </is>
      </c>
      <c r="E13" s="57" t="inlineStr">
        <is>
          <t>Complete 20 Linux challenges on OverTheWire Bandit (levels 0–20)</t>
        </is>
      </c>
      <c r="F13" s="57" t="inlineStr">
        <is>
          <t>overthewire.org/wargames/bandit (free)</t>
        </is>
      </c>
      <c r="G13" s="57" t="inlineStr">
        <is>
          <t>Write a shell script that analyzes a log file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52" t="n">
        <v>11</v>
      </c>
      <c r="B14" s="53" t="inlineStr">
        <is>
          <t>Day 11</t>
        </is>
      </c>
      <c r="C14" s="54" t="inlineStr">
        <is>
          <t>Shell Scripting + IDE Setup</t>
        </is>
      </c>
      <c r="D14" s="55" t="inlineStr">
        <is>
          <t>Bash scripts (variables, loops, conditionals, functions), shebang, cron jobs, VS Code/IntelliJ setup</t>
        </is>
      </c>
      <c r="E14" s="55" t="inlineStr">
        <is>
          <t>Write a bash script: monitors disk usage, alerts if &gt;80%, emails a report (simulate)</t>
        </is>
      </c>
      <c r="F14" s="55" t="inlineStr">
        <is>
          <t>GNU Bash manual + explainshell.com</t>
        </is>
      </c>
      <c r="G14" s="55" t="inlineStr">
        <is>
          <t>Automated backup script with logging</t>
        </is>
      </c>
      <c r="H14" s="56" t="inlineStr">
        <is>
          <t>⬜ Not Started</t>
        </is>
      </c>
      <c r="I14" s="56" t="inlineStr"/>
      <c r="J14" s="56" t="inlineStr"/>
      <c r="K14" s="55" t="inlineStr"/>
    </row>
    <row r="15" ht="42" customHeight="1">
      <c r="A15" s="62" t="n">
        <v>12</v>
      </c>
      <c r="B15" s="63" t="inlineStr">
        <is>
          <t>Day 12</t>
        </is>
      </c>
      <c r="C15" s="64" t="inlineStr">
        <is>
          <t>Phase 1 Review + SDE2 Coding Practice</t>
        </is>
      </c>
      <c r="D15" s="57" t="inlineStr">
        <is>
          <t>Review all week's concepts. Big O for all DS. LLD practice: Parking Lot or Elevator System</t>
        </is>
      </c>
      <c r="E15" s="57" t="inlineStr">
        <is>
          <t>LeetCode: 3 medium problems. Design Parking Lot (LLD: classes, state machine, concurrency)</t>
        </is>
      </c>
      <c r="F15" s="57" t="inlineStr">
        <is>
          <t>Grokking the OO Design Interview (free on GitHub)</t>
        </is>
      </c>
      <c r="G15" s="57" t="inlineStr">
        <is>
          <t>Submit Parking Lot LLD on GitHub</t>
        </is>
      </c>
      <c r="H15" s="58" t="inlineStr">
        <is>
          <t>⬜ Not Started</t>
        </is>
      </c>
      <c r="I15" s="58" t="inlineStr"/>
      <c r="J15" s="58" t="inlineStr"/>
      <c r="K15" s="57" t="inlineStr">
        <is>
          <t>SDE2 extra: LLD is frequently asked!</t>
        </is>
      </c>
    </row>
    <row r="16" ht="24" customHeight="1">
      <c r="A16" s="10" t="inlineStr">
        <is>
          <t>📊 PHASE SUMMARY</t>
        </is>
      </c>
      <c r="H16" s="65">
        <f>COUNTIF(H4:H15,"✅ Completed")&amp;" / 12 done"</f>
        <v/>
      </c>
      <c r="I16" s="66">
        <f>IFERROR(AVERAGE(I4:I15),"–")</f>
        <v/>
      </c>
      <c r="J16" s="67">
        <f>SUM(J4:J15)</f>
        <v/>
      </c>
    </row>
  </sheetData>
  <mergeCells count="3">
    <mergeCell ref="A2:K2"/>
    <mergeCell ref="A16:G16"/>
    <mergeCell ref="A1:K1"/>
  </mergeCells>
  <dataValidations count="2">
    <dataValidation sqref="H4 H5 H6 H7 H8 H9 H10 H11 H12 H13 H14 H15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68" t="inlineStr">
        <is>
          <t>Phase 2: Networking &amp; Internet  |  Month 1 (Days 13–24)</t>
        </is>
      </c>
    </row>
    <row r="2" ht="20" customHeight="1">
      <c r="A2" s="69" t="inlineStr">
        <is>
          <t>📝 Update STATUS column daily. Use: ⬜ Not Started | 🔵 In Progress | ✅ Completed | 🔄 Revisit | ⭐ Mastered</t>
        </is>
      </c>
    </row>
    <row r="3" ht="32" customHeight="1">
      <c r="A3" s="70" t="inlineStr">
        <is>
          <t>Day</t>
        </is>
      </c>
      <c r="B3" s="70" t="inlineStr">
        <is>
          <t>Date</t>
        </is>
      </c>
      <c r="C3" s="70" t="inlineStr">
        <is>
          <t>Topic</t>
        </is>
      </c>
      <c r="D3" s="70" t="inlineStr">
        <is>
          <t>Subtopics / Concepts</t>
        </is>
      </c>
      <c r="E3" s="70" t="inlineStr">
        <is>
          <t>Daily Task / Exercise</t>
        </is>
      </c>
      <c r="F3" s="70" t="inlineStr">
        <is>
          <t>Resource</t>
        </is>
      </c>
      <c r="G3" s="70" t="inlineStr">
        <is>
          <t>Mini Project / Output</t>
        </is>
      </c>
      <c r="H3" s="70" t="inlineStr">
        <is>
          <t>Status</t>
        </is>
      </c>
      <c r="I3" s="70" t="inlineStr">
        <is>
          <t>Confidence
(1–5)</t>
        </is>
      </c>
      <c r="J3" s="70" t="inlineStr">
        <is>
          <t>Time
Spent (hr)</t>
        </is>
      </c>
      <c r="K3" s="70" t="inlineStr">
        <is>
          <t>Notes / Blockers</t>
        </is>
      </c>
    </row>
    <row r="4" ht="42" customHeight="1">
      <c r="A4" s="52" t="n">
        <v>13</v>
      </c>
      <c r="B4" s="53" t="inlineStr">
        <is>
          <t>Day 13</t>
        </is>
      </c>
      <c r="C4" s="54" t="inlineStr">
        <is>
          <t>OSI Model + TCP/IP Stack</t>
        </is>
      </c>
      <c r="D4" s="55" t="inlineStr">
        <is>
          <t>7 OSI layers (Physical → Application), TCP/IP 4-layer model, how data flows through layers</t>
        </is>
      </c>
      <c r="E4" s="55" t="inlineStr">
        <is>
          <t>Draw the OSI model from memory. Trace an HTTP request through all 7 layers.</t>
        </is>
      </c>
      <c r="F4" s="55" t="inlineStr">
        <is>
          <t>Hussein Nasser YouTube — 'OSI Model Deep Dive'</t>
        </is>
      </c>
      <c r="G4" s="55" t="inlineStr">
        <is>
          <t>Write a blog/notes explaining OSI in plain English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9" t="n">
        <v>14</v>
      </c>
      <c r="B5" s="60" t="inlineStr">
        <is>
          <t>Day 14</t>
        </is>
      </c>
      <c r="C5" s="61" t="inlineStr">
        <is>
          <t>TCP vs UDP</t>
        </is>
      </c>
      <c r="D5" s="57" t="inlineStr">
        <is>
          <t>TCP 3-way handshake (SYN/SYN-ACK/ACK), 4-way teardown, flow control, congestion control. UDP: stateless, fast, unreliable.</t>
        </is>
      </c>
      <c r="E5" s="57" t="inlineStr">
        <is>
          <t>Build a simple TCP server + client in Python/Go. Then a UDP version.</t>
        </is>
      </c>
      <c r="F5" s="57" t="inlineStr">
        <is>
          <t>Beej's Guide to Network Programming (free)</t>
        </is>
      </c>
      <c r="G5" s="57" t="inlineStr">
        <is>
          <t>TCP chat server (multiple clients)</t>
        </is>
      </c>
      <c r="H5" s="58" t="inlineStr">
        <is>
          <t>⬜ Not Started</t>
        </is>
      </c>
      <c r="I5" s="58" t="inlineStr"/>
      <c r="J5" s="58" t="inlineStr"/>
      <c r="K5" s="57" t="inlineStr">
        <is>
          <t>When to use UDP: DNS, gaming, video streaming</t>
        </is>
      </c>
    </row>
    <row r="6" ht="42" customHeight="1">
      <c r="A6" s="59" t="n">
        <v>15</v>
      </c>
      <c r="B6" s="60" t="inlineStr">
        <is>
          <t>Day 15</t>
        </is>
      </c>
      <c r="C6" s="61" t="inlineStr">
        <is>
          <t>HTTP/1.1 vs HTTP/2 vs HTTP/3</t>
        </is>
      </c>
      <c r="D6" s="55" t="inlineStr">
        <is>
          <t>HTTP/1.1 (pipelining issues), HTTP/2 (multiplexing, header compression, server push), HTTP/3 (QUIC, 0-RTT)</t>
        </is>
      </c>
      <c r="E6" s="55" t="inlineStr">
        <is>
          <t>Use curl with --verbose to inspect HTTP headers. Compare HTTP/1.1 vs HTTP/2 waterfall in browser DevTools</t>
        </is>
      </c>
      <c r="F6" s="55" t="inlineStr">
        <is>
          <t>High Performance Browser Networking by Ilya Grigorik (free online)</t>
        </is>
      </c>
      <c r="G6" s="55" t="inlineStr">
        <is>
          <t>Document differences with example curl outputs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59" t="n">
        <v>16</v>
      </c>
      <c r="B7" s="60" t="inlineStr">
        <is>
          <t>Day 16</t>
        </is>
      </c>
      <c r="C7" s="61" t="inlineStr">
        <is>
          <t>HTTPS + TLS Handshake</t>
        </is>
      </c>
      <c r="D7" s="57" t="inlineStr">
        <is>
          <t>TLS 1.2 vs TLS 1.3, certificate chain, CA, public/private keys, symmetric vs asymmetric encryption, HSTS</t>
        </is>
      </c>
      <c r="E7" s="57" t="inlineStr">
        <is>
          <t>Set up a self-signed SSL cert with openssl. Inspect a TLS handshake with Wireshark.</t>
        </is>
      </c>
      <c r="F7" s="57" t="inlineStr">
        <is>
          <t>tls.ulfheim.net (TLS illustrated, free)</t>
        </is>
      </c>
      <c r="G7" s="57" t="inlineStr">
        <is>
          <t>HTTPS server with your own SSL cert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2" t="n">
        <v>17</v>
      </c>
      <c r="B8" s="53" t="inlineStr">
        <is>
          <t>Day 17</t>
        </is>
      </c>
      <c r="C8" s="54" t="inlineStr">
        <is>
          <t>DNS Resolution</t>
        </is>
      </c>
      <c r="D8" s="55" t="inlineStr">
        <is>
          <t>Recursive vs iterative resolution, A/AAAA/CNAME/MX/TXT/NS records, TTL, DNS caching, CDN DNS, split-horizon DNS</t>
        </is>
      </c>
      <c r="E8" s="55" t="inlineStr">
        <is>
          <t>Use dig and nslookup to trace DNS resolution of google.com. Set up local /etc/hosts override.</t>
        </is>
      </c>
      <c r="F8" s="55" t="inlineStr">
        <is>
          <t>howdns.works (free visual explanation)</t>
        </is>
      </c>
      <c r="G8" s="55" t="inlineStr">
        <is>
          <t>Document full DNS trace with screenshots</t>
        </is>
      </c>
      <c r="H8" s="56" t="inlineStr">
        <is>
          <t>⬜ Not Started</t>
        </is>
      </c>
      <c r="I8" s="56" t="inlineStr"/>
      <c r="J8" s="56" t="inlineStr"/>
      <c r="K8" s="55" t="inlineStr">
        <is>
          <t>DNS is often the bottleneck — must know</t>
        </is>
      </c>
    </row>
    <row r="9" ht="42" customHeight="1">
      <c r="A9" s="59" t="n">
        <v>18</v>
      </c>
      <c r="B9" s="60" t="inlineStr">
        <is>
          <t>Day 18</t>
        </is>
      </c>
      <c r="C9" s="61" t="inlineStr">
        <is>
          <t>Proxies + Load Balancers</t>
        </is>
      </c>
      <c r="D9" s="57" t="inlineStr">
        <is>
          <t>Forward proxy vs reverse proxy, Nginx as reverse proxy, L4 vs L7 load balancing, SSL termination</t>
        </is>
      </c>
      <c r="E9" s="57" t="inlineStr">
        <is>
          <t>Set up Nginx as a reverse proxy for 2 backend servers locally. Test load distribution.</t>
        </is>
      </c>
      <c r="F9" s="57" t="inlineStr">
        <is>
          <t>Nginx docs (free) + Hussein Nasser 'Nginx Fundamentals'</t>
        </is>
      </c>
      <c r="G9" s="57" t="inlineStr">
        <is>
          <t>Nginx reverse proxy config with upstream block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59" t="n">
        <v>19</v>
      </c>
      <c r="B10" s="60" t="inlineStr">
        <is>
          <t>Day 19</t>
        </is>
      </c>
      <c r="C10" s="61" t="inlineStr">
        <is>
          <t>WebSockets + SSE + Long Polling</t>
        </is>
      </c>
      <c r="D10" s="55" t="inlineStr">
        <is>
          <t>WebSocket upgrade handshake, bidirectional frames, SSE (one-way streams), long polling vs short polling. When to use each.</t>
        </is>
      </c>
      <c r="E10" s="55" t="inlineStr">
        <is>
          <t>Build a real-time chat: one version with WebSocket, one with SSE. Compare code complexity.</t>
        </is>
      </c>
      <c r="F10" s="55" t="inlineStr">
        <is>
          <t>MDN WebSockets Guide (free)</t>
        </is>
      </c>
      <c r="G10" s="55" t="inlineStr">
        <is>
          <t>Live chat app with WebSocket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52" t="n">
        <v>20</v>
      </c>
      <c r="B11" s="53" t="inlineStr">
        <is>
          <t>Day 20</t>
        </is>
      </c>
      <c r="C11" s="54" t="inlineStr">
        <is>
          <t>CORS + Network Concepts</t>
        </is>
      </c>
      <c r="D11" s="57" t="inlineStr">
        <is>
          <t>CORS: preflight, Access-Control headers, same-origin policy. Latency vs bandwidth vs throughput. Packet loss. TTL.</t>
        </is>
      </c>
      <c r="E11" s="57" t="inlineStr">
        <is>
          <t>Deliberately trigger a CORS error in browser. Fix it on the server. Measure latency with ping + traceroute.</t>
        </is>
      </c>
      <c r="F11" s="57" t="inlineStr">
        <is>
          <t>MDN CORS guide + 'What is CORS?' by fireship.io</t>
        </is>
      </c>
      <c r="G11" s="57" t="inlineStr">
        <is>
          <t>CORS-enabled REST API with proper headers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2" t="n">
        <v>21</v>
      </c>
      <c r="B12" s="53" t="inlineStr">
        <is>
          <t>Day 21</t>
        </is>
      </c>
      <c r="C12" s="54" t="inlineStr">
        <is>
          <t>IP Addressing + Subnetting</t>
        </is>
      </c>
      <c r="D12" s="55" t="inlineStr">
        <is>
          <t>IPv4 vs IPv6, CIDR notation, subnetting math, private vs public IP, NAT, ports (well-known, registered, dynamic)</t>
        </is>
      </c>
      <c r="E12" s="55" t="inlineStr">
        <is>
          <t>Subnet a /24 network into 4 equal subnets. Set up port forwarding in a local VM.</t>
        </is>
      </c>
      <c r="F12" s="55" t="inlineStr">
        <is>
          <t>subnettingpractice.com (free)</t>
        </is>
      </c>
      <c r="G12" s="55" t="inlineStr">
        <is>
          <t>Network diagram for a 3-tier web architecture</t>
        </is>
      </c>
      <c r="H12" s="56" t="inlineStr">
        <is>
          <t>⬜ Not Started</t>
        </is>
      </c>
      <c r="I12" s="56" t="inlineStr"/>
      <c r="J12" s="56" t="inlineStr"/>
      <c r="K12" s="55" t="inlineStr">
        <is>
          <t>SDE2 extra: VPCs in cloud use subnetting</t>
        </is>
      </c>
    </row>
    <row r="13" ht="42" customHeight="1">
      <c r="A13" s="52" t="n">
        <v>22</v>
      </c>
      <c r="B13" s="53" t="inlineStr">
        <is>
          <t>Day 22</t>
        </is>
      </c>
      <c r="C13" s="54" t="inlineStr">
        <is>
          <t>CDN + Edge Computing</t>
        </is>
      </c>
      <c r="D13" s="57" t="inlineStr">
        <is>
          <t>How CDNs work (PoPs, cache hit/miss), Anycast routing, CDN for static vs dynamic content, edge functions</t>
        </is>
      </c>
      <c r="E13" s="57" t="inlineStr">
        <is>
          <t>Compare loading a resource directly vs via CDN. Check response headers (X-Cache, CF-Ray).</t>
        </is>
      </c>
      <c r="F13" s="57" t="inlineStr">
        <is>
          <t>Cloudflare Learning Center (free)</t>
        </is>
      </c>
      <c r="G13" s="57" t="inlineStr">
        <is>
          <t>Deploy a static site to Cloudflare Pages (free tier)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59" t="n">
        <v>23</v>
      </c>
      <c r="B14" s="60" t="inlineStr">
        <is>
          <t>Day 23</t>
        </is>
      </c>
      <c r="C14" s="61" t="inlineStr">
        <is>
          <t>Network Debugging Tools</t>
        </is>
      </c>
      <c r="D14" s="55" t="inlineStr">
        <is>
          <t>Wireshark, tcpdump, curl, wget, netstat, ss, lsof, nmap basics, ping, traceroute, mtr, ab (Apache Bench)</t>
        </is>
      </c>
      <c r="E14" s="55" t="inlineStr">
        <is>
          <t>Capture HTTP traffic with tcpdump. Use ab to benchmark a local API (1000 requests, 10 concurrent).</t>
        </is>
      </c>
      <c r="F14" s="55" t="inlineStr">
        <is>
          <t>Wireshark official docs (free)</t>
        </is>
      </c>
      <c r="G14" s="55" t="inlineStr">
        <is>
          <t>Performance report for your chat server from Day 19</t>
        </is>
      </c>
      <c r="H14" s="56" t="inlineStr">
        <is>
          <t>⬜ Not Started</t>
        </is>
      </c>
      <c r="I14" s="56" t="inlineStr"/>
      <c r="J14" s="56" t="inlineStr"/>
      <c r="K14" s="55" t="inlineStr"/>
    </row>
    <row r="15" ht="42" customHeight="1">
      <c r="A15" s="62" t="n">
        <v>24</v>
      </c>
      <c r="B15" s="63" t="inlineStr">
        <is>
          <t>Day 24</t>
        </is>
      </c>
      <c r="C15" s="64" t="inlineStr">
        <is>
          <t>Phase 2 Review + System Design Intro</t>
        </is>
      </c>
      <c r="D15" s="57" t="inlineStr">
        <is>
          <t>Review networking. System design framework: Requirements → Estimation → High-level → Deep dive → Bottlenecks</t>
        </is>
      </c>
      <c r="E15" s="57" t="inlineStr">
        <is>
          <t>Design a URL shortener (back-of-envelope estimates: QPS, storage, bandwidth). Time yourself 45 min.</t>
        </is>
      </c>
      <c r="F15" s="57" t="inlineStr">
        <is>
          <t>System Design Primer GitHub (free)</t>
        </is>
      </c>
      <c r="G15" s="57" t="inlineStr">
        <is>
          <t>URL shortener design doc (1 page)</t>
        </is>
      </c>
      <c r="H15" s="58" t="inlineStr">
        <is>
          <t>⬜ Not Started</t>
        </is>
      </c>
      <c r="I15" s="58" t="inlineStr"/>
      <c r="J15" s="58" t="inlineStr"/>
      <c r="K15" s="57" t="inlineStr">
        <is>
          <t>SDE2 extra: back-of-envelope estimation is core SDE2 skill</t>
        </is>
      </c>
    </row>
    <row r="16" ht="24" customHeight="1">
      <c r="A16" s="11" t="inlineStr">
        <is>
          <t>📊 PHASE SUMMARY</t>
        </is>
      </c>
      <c r="H16" s="65">
        <f>COUNTIF(H4:H15,"✅ Completed")&amp;" / 12 done"</f>
        <v/>
      </c>
      <c r="I16" s="66">
        <f>IFERROR(AVERAGE(I4:I15),"–")</f>
        <v/>
      </c>
      <c r="J16" s="67">
        <f>SUM(J4:J15)</f>
        <v/>
      </c>
    </row>
  </sheetData>
  <mergeCells count="3">
    <mergeCell ref="A2:K2"/>
    <mergeCell ref="A16:G16"/>
    <mergeCell ref="A1:K1"/>
  </mergeCells>
  <dataValidations count="2">
    <dataValidation sqref="H4 H5 H6 H7 H8 H9 H10 H11 H12 H13 H14 H15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1" t="inlineStr">
        <is>
          <t>Phase 3: SQL Databases  |  Month 1 (Days 25–38)</t>
        </is>
      </c>
    </row>
    <row r="2" ht="20" customHeight="1">
      <c r="A2" s="72" t="inlineStr">
        <is>
          <t>📝 Update STATUS column daily. Use: ⬜ Not Started | 🔵 In Progress | ✅ Completed | 🔄 Revisit | ⭐ Mastered</t>
        </is>
      </c>
    </row>
    <row r="3" ht="32" customHeight="1">
      <c r="A3" s="73" t="inlineStr">
        <is>
          <t>Day</t>
        </is>
      </c>
      <c r="B3" s="73" t="inlineStr">
        <is>
          <t>Date</t>
        </is>
      </c>
      <c r="C3" s="73" t="inlineStr">
        <is>
          <t>Topic</t>
        </is>
      </c>
      <c r="D3" s="73" t="inlineStr">
        <is>
          <t>Subtopics / Concepts</t>
        </is>
      </c>
      <c r="E3" s="73" t="inlineStr">
        <is>
          <t>Daily Task / Exercise</t>
        </is>
      </c>
      <c r="F3" s="73" t="inlineStr">
        <is>
          <t>Resource</t>
        </is>
      </c>
      <c r="G3" s="73" t="inlineStr">
        <is>
          <t>Mini Project / Output</t>
        </is>
      </c>
      <c r="H3" s="73" t="inlineStr">
        <is>
          <t>Status</t>
        </is>
      </c>
      <c r="I3" s="73" t="inlineStr">
        <is>
          <t>Confidence
(1–5)</t>
        </is>
      </c>
      <c r="J3" s="73" t="inlineStr">
        <is>
          <t>Time
Spent (hr)</t>
        </is>
      </c>
      <c r="K3" s="73" t="inlineStr">
        <is>
          <t>Notes / Blockers</t>
        </is>
      </c>
    </row>
    <row r="4" ht="42" customHeight="1">
      <c r="A4" s="52" t="n">
        <v>25</v>
      </c>
      <c r="B4" s="53" t="inlineStr">
        <is>
          <t>Day 25</t>
        </is>
      </c>
      <c r="C4" s="54" t="inlineStr">
        <is>
          <t>Relational Model + SQL Basics</t>
        </is>
      </c>
      <c r="D4" s="55" t="inlineStr">
        <is>
          <t>Tables, rows, columns, primary key, foreign key, constraints. SELECT, WHERE, ORDER BY, LIMIT.</t>
        </is>
      </c>
      <c r="E4" s="55" t="inlineStr">
        <is>
          <t>Create a e-commerce schema (users, products, orders, order_items). Write 10 SELECT queries.</t>
        </is>
      </c>
      <c r="F4" s="55" t="inlineStr">
        <is>
          <t>PostgreSQL tutorial (postgresql.org, free)</t>
        </is>
      </c>
      <c r="G4" s="55" t="inlineStr">
        <is>
          <t>E-commerce schema with sample data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2" t="n">
        <v>26</v>
      </c>
      <c r="B5" s="53" t="inlineStr">
        <is>
          <t>Day 26</t>
        </is>
      </c>
      <c r="C5" s="54" t="inlineStr">
        <is>
          <t>SQL Joins + Aggregations</t>
        </is>
      </c>
      <c r="D5" s="57" t="inlineStr">
        <is>
          <t>INNER/LEFT/RIGHT/FULL JOIN, GROUP BY, HAVING, COUNT/SUM/AVG/MAX/MIN, DISTINCT, subqueries</t>
        </is>
      </c>
      <c r="E5" s="57" t="inlineStr">
        <is>
          <t>Write 15 join queries on your e-commerce schema. Find top 5 products by revenue, monthly sales, etc.</t>
        </is>
      </c>
      <c r="F5" s="57" t="inlineStr">
        <is>
          <t>SQLZoo (free interactive)</t>
        </is>
      </c>
      <c r="G5" s="57" t="inlineStr">
        <is>
          <t>Sales analytics report as SQL queries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62" t="n">
        <v>27</v>
      </c>
      <c r="B6" s="63" t="inlineStr">
        <is>
          <t>Day 27</t>
        </is>
      </c>
      <c r="C6" s="64" t="inlineStr">
        <is>
          <t>Window Functions + CTEs</t>
        </is>
      </c>
      <c r="D6" s="55" t="inlineStr">
        <is>
          <t>ROW_NUMBER, RANK, DENSE_RANK, LAG, LEAD, PARTITION BY, WITH (CTE), recursive CTEs</t>
        </is>
      </c>
      <c r="E6" s="55" t="inlineStr">
        <is>
          <t>LeetCode SQL: Rank Scores, Consecutive Numbers, Department Top 3 Salaries</t>
        </is>
      </c>
      <c r="F6" s="55" t="inlineStr">
        <is>
          <t>Mode Analytics SQL Tutorial (free)</t>
        </is>
      </c>
      <c r="G6" s="55" t="inlineStr">
        <is>
          <t>Retention analysis query using window functions</t>
        </is>
      </c>
      <c r="H6" s="56" t="inlineStr">
        <is>
          <t>⬜ Not Started</t>
        </is>
      </c>
      <c r="I6" s="56" t="inlineStr"/>
      <c r="J6" s="56" t="inlineStr"/>
      <c r="K6" s="55" t="inlineStr">
        <is>
          <t>Window functions: top asked in SDE2 SQL interviews</t>
        </is>
      </c>
    </row>
    <row r="7" ht="42" customHeight="1">
      <c r="A7" s="59" t="n">
        <v>28</v>
      </c>
      <c r="B7" s="60" t="inlineStr">
        <is>
          <t>Day 28</t>
        </is>
      </c>
      <c r="C7" s="61" t="inlineStr">
        <is>
          <t>Normalization</t>
        </is>
      </c>
      <c r="D7" s="57" t="inlineStr">
        <is>
          <t>1NF, 2NF, 3NF, BCNF — definitions, violations, how to fix. Denormalization: when and why.</t>
        </is>
      </c>
      <c r="E7" s="57" t="inlineStr">
        <is>
          <t>Take a badly normalized table (customer-order spreadsheet) and normalize it to 3NF.</t>
        </is>
      </c>
      <c r="F7" s="57" t="inlineStr">
        <is>
          <t>Use-The-Index-Luke.com (free)</t>
        </is>
      </c>
      <c r="G7" s="57" t="inlineStr">
        <is>
          <t>Before/after schema comparison with explanation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9" t="n">
        <v>29</v>
      </c>
      <c r="B8" s="60" t="inlineStr">
        <is>
          <t>Day 29</t>
        </is>
      </c>
      <c r="C8" s="61" t="inlineStr">
        <is>
          <t>ACID Properties</t>
        </is>
      </c>
      <c r="D8" s="55" t="inlineStr">
        <is>
          <t>Atomicity, Consistency, Isolation, Durability — what each means in practice, how PG enforces them</t>
        </is>
      </c>
      <c r="E8" s="55" t="inlineStr">
        <is>
          <t>Simulate a transaction rollback (bank transfer that fails midway). Verify atomicity with psql.</t>
        </is>
      </c>
      <c r="F8" s="55" t="inlineStr">
        <is>
          <t>PostgreSQL docs → Transactions chapter</t>
        </is>
      </c>
      <c r="G8" s="55" t="inlineStr">
        <is>
          <t>Bank transfer function with proper transaction handling</t>
        </is>
      </c>
      <c r="H8" s="56" t="inlineStr">
        <is>
          <t>⬜ Not Started</t>
        </is>
      </c>
      <c r="I8" s="56" t="inlineStr"/>
      <c r="J8" s="56" t="inlineStr"/>
      <c r="K8" s="55" t="inlineStr">
        <is>
          <t>This is Phase 3 of the seat reservation article you read!</t>
        </is>
      </c>
    </row>
    <row r="9" ht="42" customHeight="1">
      <c r="A9" s="62" t="n">
        <v>30</v>
      </c>
      <c r="B9" s="63" t="inlineStr">
        <is>
          <t>Day 30</t>
        </is>
      </c>
      <c r="C9" s="64" t="inlineStr">
        <is>
          <t>Transaction Isolation Levels</t>
        </is>
      </c>
      <c r="D9" s="57" t="inlineStr">
        <is>
          <t>Read Uncommitted, Read Committed, Repeatable Read, Serializable. Dirty read, phantom read, non-repeatable read. MVCC.</t>
        </is>
      </c>
      <c r="E9" s="57" t="inlineStr">
        <is>
          <t>Reproduce a phantom read in psql with 2 terminal sessions. Fix it with Serializable.</t>
        </is>
      </c>
      <c r="F9" s="57" t="inlineStr">
        <is>
          <t>PostgreSQL docs → Isolation Levels</t>
        </is>
      </c>
      <c r="G9" s="57" t="inlineStr">
        <is>
          <t>Write-up of all 4 isolation levels with examples</t>
        </is>
      </c>
      <c r="H9" s="58" t="inlineStr">
        <is>
          <t>⬜ Not Started</t>
        </is>
      </c>
      <c r="I9" s="58" t="inlineStr"/>
      <c r="J9" s="58" t="inlineStr"/>
      <c r="K9" s="57" t="inlineStr">
        <is>
          <t>Deep link to seat reservation article!</t>
        </is>
      </c>
    </row>
    <row r="10" ht="42" customHeight="1">
      <c r="A10" s="59" t="n">
        <v>31</v>
      </c>
      <c r="B10" s="60" t="inlineStr">
        <is>
          <t>Day 31</t>
        </is>
      </c>
      <c r="C10" s="61" t="inlineStr">
        <is>
          <t>Indexes — B-tree</t>
        </is>
      </c>
      <c r="D10" s="55" t="inlineStr">
        <is>
          <t>How B-tree works, clustered vs non-clustered, composite indexes, index selectivity, covering indexes</t>
        </is>
      </c>
      <c r="E10" s="55" t="inlineStr">
        <is>
          <t>Add indexes to your e-commerce DB. Use EXPLAIN ANALYZE before/after. Measure query time improvement.</t>
        </is>
      </c>
      <c r="F10" s="55" t="inlineStr">
        <is>
          <t>Use-The-Index-Luke.com Part 1 (free)</t>
        </is>
      </c>
      <c r="G10" s="55" t="inlineStr">
        <is>
          <t>Index optimization report for e-commerce schema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59" t="n">
        <v>32</v>
      </c>
      <c r="B11" s="60" t="inlineStr">
        <is>
          <t>Day 32</t>
        </is>
      </c>
      <c r="C11" s="61" t="inlineStr">
        <is>
          <t>Indexes — Hash, Bitmap, Partial</t>
        </is>
      </c>
      <c r="D11" s="57" t="inlineStr">
        <is>
          <t>Hash index (equality only), bitmap index, partial index (WHERE clause), expression index, GiST, GIN</t>
        </is>
      </c>
      <c r="E11" s="57" t="inlineStr">
        <is>
          <t>Create partial index on active users only. Bitmap index for enum columns. Measure improvement.</t>
        </is>
      </c>
      <c r="F11" s="57" t="inlineStr">
        <is>
          <t>PostgreSQL docs → Index Types</t>
        </is>
      </c>
      <c r="G11" s="57" t="inlineStr">
        <is>
          <t>Index strategy document for your schema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62" t="n">
        <v>33</v>
      </c>
      <c r="B12" s="63" t="inlineStr">
        <is>
          <t>Day 33</t>
        </is>
      </c>
      <c r="C12" s="64" t="inlineStr">
        <is>
          <t>Query Optimization + EXPLAIN</t>
        </is>
      </c>
      <c r="D12" s="55" t="inlineStr">
        <is>
          <t>EXPLAIN vs EXPLAIN ANALYZE, seq scan vs index scan vs index-only scan, nested loop vs hash join vs merge join</t>
        </is>
      </c>
      <c r="E12" s="55" t="inlineStr">
        <is>
          <t>Find 3 slow queries in your schema using pg_stat_statements. Optimize each one.</t>
        </is>
      </c>
      <c r="F12" s="55" t="inlineStr">
        <is>
          <t>explain.dalibo.com (free query plan visualizer)</t>
        </is>
      </c>
      <c r="G12" s="55" t="inlineStr">
        <is>
          <t>Query optimization case study (3 before/after)</t>
        </is>
      </c>
      <c r="H12" s="56" t="inlineStr">
        <is>
          <t>⬜ Not Started</t>
        </is>
      </c>
      <c r="I12" s="56" t="inlineStr"/>
      <c r="J12" s="56" t="inlineStr"/>
      <c r="K12" s="55" t="inlineStr">
        <is>
          <t>SDE2 extra: reading query plans is core skill</t>
        </is>
      </c>
    </row>
    <row r="13" ht="42" customHeight="1">
      <c r="A13" s="59" t="n">
        <v>34</v>
      </c>
      <c r="B13" s="60" t="inlineStr">
        <is>
          <t>Day 34</t>
        </is>
      </c>
      <c r="C13" s="61" t="inlineStr">
        <is>
          <t>Connection Pooling</t>
        </is>
      </c>
      <c r="D13" s="57" t="inlineStr">
        <is>
          <t>Why connection pooling matters, PgBouncer (session/transaction/statement mode), max_connections, pool sizing</t>
        </is>
      </c>
      <c r="E13" s="57" t="inlineStr">
        <is>
          <t>Set up PgBouncer locally. Load test with pgbench without it, then with it. Compare throughput.</t>
        </is>
      </c>
      <c r="F13" s="57" t="inlineStr">
        <is>
          <t>PgBouncer docs (free) + Citus PgBouncer blog</t>
        </is>
      </c>
      <c r="G13" s="57" t="inlineStr">
        <is>
          <t>Load test results: pgbench report with graphs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62" t="n">
        <v>35</v>
      </c>
      <c r="B14" s="63" t="inlineStr">
        <is>
          <t>Day 35</t>
        </is>
      </c>
      <c r="C14" s="64" t="inlineStr">
        <is>
          <t>Foreign Keys + N+1 Problem</t>
        </is>
      </c>
      <c r="D14" s="55" t="inlineStr">
        <is>
          <t>FK constraints and their cost, cascades, N+1 query problem (ORM trap), eager vs lazy loading, DataLoader pattern</t>
        </is>
      </c>
      <c r="E14" s="55" t="inlineStr">
        <is>
          <t>Find an N+1 in a Rails/Sequelize/SQLAlchemy app. Fix with eager loading. Measure query count.</t>
        </is>
      </c>
      <c r="F14" s="55" t="inlineStr">
        <is>
          <t>Bullet gem docs / DataLoader docs</t>
        </is>
      </c>
      <c r="G14" s="55" t="inlineStr">
        <is>
          <t>N+1 fix with before/after query log</t>
        </is>
      </c>
      <c r="H14" s="56" t="inlineStr">
        <is>
          <t>⬜ Not Started</t>
        </is>
      </c>
      <c r="I14" s="56" t="inlineStr"/>
      <c r="J14" s="56" t="inlineStr"/>
      <c r="K14" s="55" t="inlineStr">
        <is>
          <t>N+1 is asked in almost every backend SDE2 interview</t>
        </is>
      </c>
    </row>
    <row r="15" ht="42" customHeight="1">
      <c r="A15" s="59" t="n">
        <v>36</v>
      </c>
      <c r="B15" s="60" t="inlineStr">
        <is>
          <t>Day 36</t>
        </is>
      </c>
      <c r="C15" s="61" t="inlineStr">
        <is>
          <t>Stored Procedures + Triggers</t>
        </is>
      </c>
      <c r="D15" s="57" t="inlineStr">
        <is>
          <t>Stored procs (pros/cons), triggers (BEFORE/AFTER, ROW/STATEMENT), when to use vs app-layer logic</t>
        </is>
      </c>
      <c r="E15" s="57" t="inlineStr">
        <is>
          <t>Write a trigger that auto-updates updated_at. Write a stored proc for complex reporting.</t>
        </is>
      </c>
      <c r="F15" s="57" t="inlineStr">
        <is>
          <t>PostgreSQL docs → PL/pgSQL</t>
        </is>
      </c>
      <c r="G15" s="57" t="inlineStr">
        <is>
          <t>Audit log trigger for order status changes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59" t="n">
        <v>37</v>
      </c>
      <c r="B16" s="60" t="inlineStr">
        <is>
          <t>Day 37</t>
        </is>
      </c>
      <c r="C16" s="61" t="inlineStr">
        <is>
          <t>Prepared Statements + SQL Injection</t>
        </is>
      </c>
      <c r="D16" s="55" t="inlineStr">
        <is>
          <t>Parameterized queries, SQL injection attacks (UNION, DROP), ORMs and injection safety, sqlmap basics</t>
        </is>
      </c>
      <c r="E16" s="55" t="inlineStr">
        <is>
          <t>Build a vulnerable login endpoint. Exploit it with SQL injection. Fix it with parameterized queries.</t>
        </is>
      </c>
      <c r="F16" s="55" t="inlineStr">
        <is>
          <t>OWASP SQL Injection (free)</t>
        </is>
      </c>
      <c r="G16" s="55" t="inlineStr">
        <is>
          <t>Security audit: fix 5 injection vulnerabilities</t>
        </is>
      </c>
      <c r="H16" s="56" t="inlineStr">
        <is>
          <t>⬜ Not Started</t>
        </is>
      </c>
      <c r="I16" s="56" t="inlineStr"/>
      <c r="J16" s="56" t="inlineStr"/>
      <c r="K16" s="55" t="inlineStr"/>
    </row>
    <row r="17" ht="42" customHeight="1">
      <c r="A17" s="62" t="n">
        <v>38</v>
      </c>
      <c r="B17" s="63" t="inlineStr">
        <is>
          <t>Day 38</t>
        </is>
      </c>
      <c r="C17" s="64" t="inlineStr">
        <is>
          <t>Phase 3 Review + Seat Reservation Deep Dive</t>
        </is>
      </c>
      <c r="D17" s="57" t="inlineStr">
        <is>
          <t>Review all SQL concepts. Deep dive: SELECT FOR UPDATE, deadlocks, optimistic locking (from article).</t>
        </is>
      </c>
      <c r="E17" s="57" t="inlineStr">
        <is>
          <t>Implement the seat reservation system from the article in PostgreSQL. Test with 2 concurrent sessions.</t>
        </is>
      </c>
      <c r="F17" s="57" t="inlineStr">
        <is>
          <t>The Alina Kovtun seat reservation article (your PDF)</t>
        </is>
      </c>
      <c r="G17" s="57" t="inlineStr">
        <is>
          <t>Working seat reservation with deadlock prevention</t>
        </is>
      </c>
      <c r="H17" s="58" t="inlineStr">
        <is>
          <t>⬜ Not Started</t>
        </is>
      </c>
      <c r="I17" s="58" t="inlineStr"/>
      <c r="J17" s="58" t="inlineStr"/>
      <c r="K17" s="57" t="inlineStr">
        <is>
          <t>This ties everything together!</t>
        </is>
      </c>
    </row>
    <row r="18" ht="24" customHeight="1">
      <c r="A18" s="12" t="inlineStr">
        <is>
          <t>📊 PHASE SUMMARY</t>
        </is>
      </c>
      <c r="H18" s="65">
        <f>COUNTIF(H4:H17,"✅ Completed")&amp;" / 14 done"</f>
        <v/>
      </c>
      <c r="I18" s="66">
        <f>IFERROR(AVERAGE(I4:I17),"–")</f>
        <v/>
      </c>
      <c r="J18" s="67">
        <f>SUM(J4:J17)</f>
        <v/>
      </c>
    </row>
  </sheetData>
  <mergeCells count="3">
    <mergeCell ref="A2:K2"/>
    <mergeCell ref="A1:K1"/>
    <mergeCell ref="A18:G18"/>
  </mergeCells>
  <dataValidations count="2">
    <dataValidation sqref="H4 H5 H6 H7 H8 H9 H10 H11 H12 H13 H14 H15 H16 H17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4" t="inlineStr">
        <is>
          <t>Phase 4: NoSQL &amp; Storage  |  Month 1 (Days 39–48)</t>
        </is>
      </c>
    </row>
    <row r="2" ht="20" customHeight="1">
      <c r="A2" s="75" t="inlineStr">
        <is>
          <t>📝 Update STATUS column daily. Use: ⬜ Not Started | 🔵 In Progress | ✅ Completed | 🔄 Revisit | ⭐ Mastered</t>
        </is>
      </c>
    </row>
    <row r="3" ht="32" customHeight="1">
      <c r="A3" s="76" t="inlineStr">
        <is>
          <t>Day</t>
        </is>
      </c>
      <c r="B3" s="76" t="inlineStr">
        <is>
          <t>Date</t>
        </is>
      </c>
      <c r="C3" s="76" t="inlineStr">
        <is>
          <t>Topic</t>
        </is>
      </c>
      <c r="D3" s="76" t="inlineStr">
        <is>
          <t>Subtopics / Concepts</t>
        </is>
      </c>
      <c r="E3" s="76" t="inlineStr">
        <is>
          <t>Daily Task / Exercise</t>
        </is>
      </c>
      <c r="F3" s="76" t="inlineStr">
        <is>
          <t>Resource</t>
        </is>
      </c>
      <c r="G3" s="76" t="inlineStr">
        <is>
          <t>Mini Project / Output</t>
        </is>
      </c>
      <c r="H3" s="76" t="inlineStr">
        <is>
          <t>Status</t>
        </is>
      </c>
      <c r="I3" s="76" t="inlineStr">
        <is>
          <t>Confidence
(1–5)</t>
        </is>
      </c>
      <c r="J3" s="76" t="inlineStr">
        <is>
          <t>Time
Spent (hr)</t>
        </is>
      </c>
      <c r="K3" s="76" t="inlineStr">
        <is>
          <t>Notes / Blockers</t>
        </is>
      </c>
    </row>
    <row r="4" ht="42" customHeight="1">
      <c r="A4" s="52" t="n">
        <v>39</v>
      </c>
      <c r="B4" s="53" t="inlineStr">
        <is>
          <t>Day 39</t>
        </is>
      </c>
      <c r="C4" s="54" t="inlineStr">
        <is>
          <t>NoSQL Overview + Document Stores</t>
        </is>
      </c>
      <c r="D4" s="55" t="inlineStr">
        <is>
          <t>Why NoSQL? Document (MongoDB), key-value (Redis), wide-column (Cassandra), graph (Neo4j). BSON, collections, documents.</t>
        </is>
      </c>
      <c r="E4" s="55" t="inlineStr">
        <is>
          <t>Set up MongoDB locally. Model the e-commerce schema as documents. Insert, query, update, delete.</t>
        </is>
      </c>
      <c r="F4" s="55" t="inlineStr">
        <is>
          <t>MongoDB University M001 (free)</t>
        </is>
      </c>
      <c r="G4" s="55" t="inlineStr">
        <is>
          <t>MongoDB e-commerce API with CRUD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9" t="n">
        <v>40</v>
      </c>
      <c r="B5" s="60" t="inlineStr">
        <is>
          <t>Day 40</t>
        </is>
      </c>
      <c r="C5" s="61" t="inlineStr">
        <is>
          <t>MongoDB Aggregation + Indexing</t>
        </is>
      </c>
      <c r="D5" s="57" t="inlineStr">
        <is>
          <t>Aggregation pipeline ($match, $group, $project, $lookup, $unwind), MongoDB indexes, explain()</t>
        </is>
      </c>
      <c r="E5" s="57" t="inlineStr">
        <is>
          <t>Replicate your SQL analytics queries using MongoDB aggregation pipeline.</t>
        </is>
      </c>
      <c r="F5" s="57" t="inlineStr">
        <is>
          <t>MongoDB University M121 (free)</t>
        </is>
      </c>
      <c r="G5" s="57" t="inlineStr">
        <is>
          <t>Analytics dashboard queries in MongoDB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59" t="n">
        <v>41</v>
      </c>
      <c r="B6" s="60" t="inlineStr">
        <is>
          <t>Day 41</t>
        </is>
      </c>
      <c r="C6" s="61" t="inlineStr">
        <is>
          <t>Redis — Key-Value Store</t>
        </is>
      </c>
      <c r="D6" s="55" t="inlineStr">
        <is>
          <t>Redis data types (string, hash, list, set, sorted set, stream), TTL, persistence (RDB vs AOF), pub/sub</t>
        </is>
      </c>
      <c r="E6" s="55" t="inlineStr">
        <is>
          <t>Implement: session store, rate limiter (INCR+EXPIRE), leaderboard (sorted set), cache-aside pattern</t>
        </is>
      </c>
      <c r="F6" s="55" t="inlineStr">
        <is>
          <t>Redis University RU101 (free)</t>
        </is>
      </c>
      <c r="G6" s="55" t="inlineStr">
        <is>
          <t>Session + rate limiter + leaderboard in Redis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42</v>
      </c>
      <c r="B7" s="63" t="inlineStr">
        <is>
          <t>Day 42</t>
        </is>
      </c>
      <c r="C7" s="64" t="inlineStr">
        <is>
          <t>Redis Advanced + Cache Patterns</t>
        </is>
      </c>
      <c r="D7" s="57" t="inlineStr">
        <is>
          <t>Cache-aside, write-through, write-back, read-through, cache stampede, thundering herd, Redis Cluster, Sentinel</t>
        </is>
      </c>
      <c r="E7" s="57" t="inlineStr">
        <is>
          <t>Simulate cache stampede. Implement mutex lock (SETNX) to prevent it. Test with concurrent requests.</t>
        </is>
      </c>
      <c r="F7" s="57" t="inlineStr">
        <is>
          <t>Redis docs + 'Building a Distributed Cache' blog</t>
        </is>
      </c>
      <c r="G7" s="57" t="inlineStr">
        <is>
          <t>Cache layer for your e-commerce API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62" t="n">
        <v>43</v>
      </c>
      <c r="B8" s="63" t="inlineStr">
        <is>
          <t>Day 43</t>
        </is>
      </c>
      <c r="C8" s="64" t="inlineStr">
        <is>
          <t>Wide-Column Stores — Cassandra</t>
        </is>
      </c>
      <c r="D8" s="55" t="inlineStr">
        <is>
          <t>Cassandra data model (partition key, clustering key), CQL, eventual consistency, tunable consistency (ONE/QUORUM/ALL), replication factor</t>
        </is>
      </c>
      <c r="E8" s="55" t="inlineStr">
        <is>
          <t>Design a Cassandra table for a time-series events log. Write queries optimized for Cassandra's model.</t>
        </is>
      </c>
      <c r="F8" s="55" t="inlineStr">
        <is>
          <t>DataStax Academy DS201 (free)</t>
        </is>
      </c>
      <c r="G8" s="55" t="inlineStr">
        <is>
          <t>Time-series events table with reads by time range</t>
        </is>
      </c>
      <c r="H8" s="56" t="inlineStr">
        <is>
          <t>⬜ Not Started</t>
        </is>
      </c>
      <c r="I8" s="56" t="inlineStr"/>
      <c r="J8" s="56" t="inlineStr"/>
      <c r="K8" s="55" t="inlineStr">
        <is>
          <t>Design for queries, not normalization — opposite of SQL!</t>
        </is>
      </c>
    </row>
    <row r="9" ht="42" customHeight="1">
      <c r="A9" s="59" t="n">
        <v>44</v>
      </c>
      <c r="B9" s="60" t="inlineStr">
        <is>
          <t>Day 44</t>
        </is>
      </c>
      <c r="C9" s="61" t="inlineStr">
        <is>
          <t>BASE + Eventual Consistency</t>
        </is>
      </c>
      <c r="D9" s="57" t="inlineStr">
        <is>
          <t>BASE vs ACID, eventual consistency, read-your-writes, monotonic reads, session consistency, causal consistency</t>
        </is>
      </c>
      <c r="E9" s="57" t="inlineStr">
        <is>
          <t>Simulate eventual consistency: write to Cassandra, immediately read (may see stale). Fix with LOCAL_QUORUM.</t>
        </is>
      </c>
      <c r="F9" s="57" t="inlineStr">
        <is>
          <t>Dynamo paper summary (Werner Vogels blog)</t>
        </is>
      </c>
      <c r="G9" s="57" t="inlineStr">
        <is>
          <t>Consistency tradeoffs comparison document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45</v>
      </c>
      <c r="B10" s="63" t="inlineStr">
        <is>
          <t>Day 45</t>
        </is>
      </c>
      <c r="C10" s="64" t="inlineStr">
        <is>
          <t>Storage Engines — LSM Trees vs B-Trees</t>
        </is>
      </c>
      <c r="D10" s="55" t="inlineStr">
        <is>
          <t>B-tree (good reads), LSM tree (good writes), write amplification, read amplification, space amplification, compaction, tombstones, bloom filters</t>
        </is>
      </c>
      <c r="E10" s="55" t="inlineStr">
        <is>
          <t>Compare write throughput: PostgreSQL (B-tree) vs Cassandra (LSM) for bulk inserts. Benchmark both.</t>
        </is>
      </c>
      <c r="F10" s="55" t="inlineStr">
        <is>
          <t>Database Internals book Ch.3–4 (free chapters)</t>
        </is>
      </c>
      <c r="G10" s="55" t="inlineStr">
        <is>
          <t>Benchmark report: B-tree vs LSM insert performance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62" t="n">
        <v>46</v>
      </c>
      <c r="B11" s="63" t="inlineStr">
        <is>
          <t>Day 46</t>
        </is>
      </c>
      <c r="C11" s="64" t="inlineStr">
        <is>
          <t>Write-Ahead Log (WAL) + MVCC</t>
        </is>
      </c>
      <c r="D11" s="57" t="inlineStr">
        <is>
          <t>WAL purpose (crash recovery), WAL replay, MVCC (multi-version concurrency control), xmin/xmax in PostgreSQL, vacuum</t>
        </is>
      </c>
      <c r="E11" s="57" t="inlineStr">
        <is>
          <t>Inspect PostgreSQL WAL with pg_waldump. Force a crash mid-transaction and watch WAL recovery.</t>
        </is>
      </c>
      <c r="F11" s="57" t="inlineStr">
        <is>
          <t>PostgreSQL docs → WAL</t>
        </is>
      </c>
      <c r="G11" s="57" t="inlineStr">
        <is>
          <t>MVCC explanation with diagrams</t>
        </is>
      </c>
      <c r="H11" s="58" t="inlineStr">
        <is>
          <t>⬜ Not Started</t>
        </is>
      </c>
      <c r="I11" s="58" t="inlineStr"/>
      <c r="J11" s="58" t="inlineStr"/>
      <c r="K11" s="57" t="inlineStr">
        <is>
          <t>Ties back to seat reservation isolation levels</t>
        </is>
      </c>
    </row>
    <row r="12" ht="42" customHeight="1">
      <c r="A12" s="59" t="n">
        <v>47</v>
      </c>
      <c r="B12" s="60" t="inlineStr">
        <is>
          <t>Day 47</t>
        </is>
      </c>
      <c r="C12" s="61" t="inlineStr">
        <is>
          <t>Graph + Time-Series + Vector DBs</t>
        </is>
      </c>
      <c r="D12" s="55" t="inlineStr">
        <is>
          <t>Neo4j (Cypher queries, use cases), InfluxDB/TimescaleDB (time-series), pgvector (vector similarity search)</t>
        </is>
      </c>
      <c r="E12" s="55" t="inlineStr">
        <is>
          <t>Build a social graph in Neo4j: find friends-of-friends. Store sensor data in TimescaleDB.</t>
        </is>
      </c>
      <c r="F12" s="55" t="inlineStr">
        <is>
          <t>Neo4j sandbox (free) + TimescaleDB docs</t>
        </is>
      </c>
      <c r="G12" s="55" t="inlineStr">
        <is>
          <t>Social network graph queries in Neo4j</t>
        </is>
      </c>
      <c r="H12" s="56" t="inlineStr">
        <is>
          <t>⬜ Not Started</t>
        </is>
      </c>
      <c r="I12" s="56" t="inlineStr"/>
      <c r="J12" s="56" t="inlineStr"/>
      <c r="K12" s="55" t="inlineStr">
        <is>
          <t>Vector DBs: critical for AI-era SDE2 knowledge</t>
        </is>
      </c>
    </row>
    <row r="13" ht="42" customHeight="1">
      <c r="A13" s="59" t="n">
        <v>48</v>
      </c>
      <c r="B13" s="60" t="inlineStr">
        <is>
          <t>Day 48</t>
        </is>
      </c>
      <c r="C13" s="61" t="inlineStr">
        <is>
          <t>Phase 4 Review + DB Selection Guide</t>
        </is>
      </c>
      <c r="D13" s="57" t="inlineStr">
        <is>
          <t>When to use SQL vs MongoDB vs Redis vs Cassandra vs Neo4j. Object storage (S3 model).</t>
        </is>
      </c>
      <c r="E13" s="57" t="inlineStr">
        <is>
          <t>Given 5 scenarios (chat app, analytics, session store, social graph, IoT), pick the right DB and justify.</t>
        </is>
      </c>
      <c r="F13" s="57" t="inlineStr">
        <is>
          <t>AWS Database Selection Guide (free)</t>
        </is>
      </c>
      <c r="G13" s="57" t="inlineStr">
        <is>
          <t>DB selection decision tree (visual)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24" customHeight="1">
      <c r="A14" s="77" t="inlineStr">
        <is>
          <t>📊 PHASE SUMMARY</t>
        </is>
      </c>
      <c r="H14" s="65">
        <f>COUNTIF(H4:H13,"✅ Completed")&amp;" / 10 done"</f>
        <v/>
      </c>
      <c r="I14" s="66">
        <f>IFERROR(AVERAGE(I4:I13),"–")</f>
        <v/>
      </c>
      <c r="J14" s="67">
        <f>SUM(J4:J13)</f>
        <v/>
      </c>
    </row>
  </sheetData>
  <mergeCells count="3">
    <mergeCell ref="A2:K2"/>
    <mergeCell ref="A14:G14"/>
    <mergeCell ref="A1:K1"/>
  </mergeCells>
  <dataValidations count="2">
    <dataValidation sqref="H4 H5 H6 H7 H8 H9 H10 H11 H12 H13" showDropDown="0" showInputMessage="0" showErrorMessage="0" allowBlank="1" type="list">
      <formula1>"⬜ Not Started,🔵 In Progress,✅ Completed,🔄 Revisit,⭐ Mastered"</formula1>
    </dataValidation>
    <dataValidation sqref="I4 I5 I6 I7 I8 I9 I10 I11 I12 I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8" t="inlineStr">
        <is>
          <t>Phase 5: APIs &amp; Communication  |  Month 2 (Days 49–60)</t>
        </is>
      </c>
    </row>
    <row r="2" ht="20" customHeight="1">
      <c r="A2" s="79" t="inlineStr">
        <is>
          <t>📝 Update STATUS column daily. Use: ⬜ Not Started | 🔵 In Progress | ✅ Completed | 🔄 Revisit | ⭐ Mastered</t>
        </is>
      </c>
    </row>
    <row r="3" ht="32" customHeight="1">
      <c r="A3" s="80" t="inlineStr">
        <is>
          <t>Day</t>
        </is>
      </c>
      <c r="B3" s="80" t="inlineStr">
        <is>
          <t>Date</t>
        </is>
      </c>
      <c r="C3" s="80" t="inlineStr">
        <is>
          <t>Topic</t>
        </is>
      </c>
      <c r="D3" s="80" t="inlineStr">
        <is>
          <t>Subtopics / Concepts</t>
        </is>
      </c>
      <c r="E3" s="80" t="inlineStr">
        <is>
          <t>Daily Task / Exercise</t>
        </is>
      </c>
      <c r="F3" s="80" t="inlineStr">
        <is>
          <t>Resource</t>
        </is>
      </c>
      <c r="G3" s="80" t="inlineStr">
        <is>
          <t>Mini Project / Output</t>
        </is>
      </c>
      <c r="H3" s="80" t="inlineStr">
        <is>
          <t>Status</t>
        </is>
      </c>
      <c r="I3" s="80" t="inlineStr">
        <is>
          <t>Confidence
(1–5)</t>
        </is>
      </c>
      <c r="J3" s="80" t="inlineStr">
        <is>
          <t>Time
Spent (hr)</t>
        </is>
      </c>
      <c r="K3" s="80" t="inlineStr">
        <is>
          <t>Notes / Blockers</t>
        </is>
      </c>
    </row>
    <row r="4" ht="42" customHeight="1">
      <c r="A4" s="52" t="n">
        <v>49</v>
      </c>
      <c r="B4" s="53" t="inlineStr">
        <is>
          <t>Day 49</t>
        </is>
      </c>
      <c r="C4" s="54" t="inlineStr">
        <is>
          <t>REST Principles</t>
        </is>
      </c>
      <c r="D4" s="55" t="inlineStr">
        <is>
          <t>Statelessness, resource-based URLs, HTTP methods (GET/POST/PUT/PATCH/DELETE), idempotency, safe methods, HATEOAS</t>
        </is>
      </c>
      <c r="E4" s="55" t="inlineStr">
        <is>
          <t>Build a RESTful API for 'Task Manager': CRUD tasks, users, tags. Use proper status codes.</t>
        </is>
      </c>
      <c r="F4" s="55" t="inlineStr">
        <is>
          <t>Google API Design Guide (free online)</t>
        </is>
      </c>
      <c r="G4" s="55" t="inlineStr">
        <is>
          <t>Task Manager REST API (Node/Python/Go)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2" t="n">
        <v>50</v>
      </c>
      <c r="B5" s="53" t="inlineStr">
        <is>
          <t>Day 50</t>
        </is>
      </c>
      <c r="C5" s="54" t="inlineStr">
        <is>
          <t>HTTP Status Codes + API Versioning</t>
        </is>
      </c>
      <c r="D5" s="57" t="inlineStr">
        <is>
          <t>2xx/3xx/4xx/5xx status codes, when to use 200 vs 201 vs 204 vs 400 vs 401 vs 403 vs 404 vs 409 vs 429 vs 500, versioning strategies</t>
        </is>
      </c>
      <c r="E5" s="57" t="inlineStr">
        <is>
          <t>Audit your Task Manager API: are all status codes correct? Add v1/v2 versioning (URL path).</t>
        </is>
      </c>
      <c r="F5" s="57" t="inlineStr">
        <is>
          <t>HTTP Status Codes guide on MDN (free)</t>
        </is>
      </c>
      <c r="G5" s="57" t="inlineStr">
        <is>
          <t>API versioning with backward compatibility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59" t="n">
        <v>51</v>
      </c>
      <c r="B6" s="60" t="inlineStr">
        <is>
          <t>Day 51</t>
        </is>
      </c>
      <c r="C6" s="61" t="inlineStr">
        <is>
          <t>GraphQL</t>
        </is>
      </c>
      <c r="D6" s="55" t="inlineStr">
        <is>
          <t>Schema definition, queries, mutations, subscriptions, N+1 resolver problem, DataLoader, introspection</t>
        </is>
      </c>
      <c r="E6" s="55" t="inlineStr">
        <is>
          <t>Convert your REST Task Manager API to GraphQL. Observe N+1. Fix with DataLoader.</t>
        </is>
      </c>
      <c r="F6" s="55" t="inlineStr">
        <is>
          <t>How to GraphQL (howtographql.com, free)</t>
        </is>
      </c>
      <c r="G6" s="55" t="inlineStr">
        <is>
          <t>GraphQL API with DataLoader batching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52</v>
      </c>
      <c r="B7" s="63" t="inlineStr">
        <is>
          <t>Day 52</t>
        </is>
      </c>
      <c r="C7" s="64" t="inlineStr">
        <is>
          <t>gRPC + Protocol Buffers</t>
        </is>
      </c>
      <c r="D7" s="57" t="inlineStr">
        <is>
          <t>Protobuf IDL, binary encoding, gRPC vs REST performance, unary/server-streaming/client-streaming/bidirectional, service definitions</t>
        </is>
      </c>
      <c r="E7" s="57" t="inlineStr">
        <is>
          <t>Define a proto file for Task Manager. Generate code. Build gRPC server + client. Benchmark vs REST.</t>
        </is>
      </c>
      <c r="F7" s="57" t="inlineStr">
        <is>
          <t>gRPC official docs (free)</t>
        </is>
      </c>
      <c r="G7" s="57" t="inlineStr">
        <is>
          <t>gRPC Task Manager service with streaming</t>
        </is>
      </c>
      <c r="H7" s="58" t="inlineStr">
        <is>
          <t>⬜ Not Started</t>
        </is>
      </c>
      <c r="I7" s="58" t="inlineStr"/>
      <c r="J7" s="58" t="inlineStr"/>
      <c r="K7" s="57" t="inlineStr">
        <is>
          <t>Netflix/Uber use gRPC internally — SDE2 must know</t>
        </is>
      </c>
    </row>
    <row r="8" ht="42" customHeight="1">
      <c r="A8" s="62" t="n">
        <v>53</v>
      </c>
      <c r="B8" s="63" t="inlineStr">
        <is>
          <t>Day 53</t>
        </is>
      </c>
      <c r="C8" s="64" t="inlineStr">
        <is>
          <t>WebSockets + SSE (deep dive)</t>
        </is>
      </c>
      <c r="D8" s="55" t="inlineStr">
        <is>
          <t>WebSocket framing, heartbeat/ping-pong, connection management at scale, SSE reconnection, back-pressure</t>
        </is>
      </c>
      <c r="E8" s="55" t="inlineStr">
        <is>
          <t>Scale your WebSocket chat to handle 1000 concurrent connections. Use socket.io or ws library.</t>
        </is>
      </c>
      <c r="F8" s="55" t="inlineStr">
        <is>
          <t>WebSocket RFC 6455 (skim) + socket.io docs</t>
        </is>
      </c>
      <c r="G8" s="55" t="inlineStr">
        <is>
          <t>Scalable chat with rooms and namespaces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54</v>
      </c>
      <c r="B9" s="60" t="inlineStr">
        <is>
          <t>Day 54</t>
        </is>
      </c>
      <c r="C9" s="61" t="inlineStr">
        <is>
          <t>Webhooks + API Gateways</t>
        </is>
      </c>
      <c r="D9" s="57" t="inlineStr">
        <is>
          <t>Webhook delivery, retry logic, HMAC signature verification, idempotency keys for webhooks, API gateway (Kong, AWS API GW, Nginx)</t>
        </is>
      </c>
      <c r="E9" s="57" t="inlineStr">
        <is>
          <t>Build a webhook receiver. Verify signatures. Implement retry with exponential backoff for failed deliveries.</t>
        </is>
      </c>
      <c r="F9" s="57" t="inlineStr">
        <is>
          <t>Stripe webhook docs (best webhook reference, free)</t>
        </is>
      </c>
      <c r="G9" s="57" t="inlineStr">
        <is>
          <t>Webhook receiver with HMAC verification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55</v>
      </c>
      <c r="B10" s="63" t="inlineStr">
        <is>
          <t>Day 55</t>
        </is>
      </c>
      <c r="C10" s="64" t="inlineStr">
        <is>
          <t>Pagination Patterns</t>
        </is>
      </c>
      <c r="D10" s="55" t="inlineStr">
        <is>
          <t>Offset pagination (easy but slow at scale), cursor-based pagination, keyset pagination, when each breaks</t>
        </is>
      </c>
      <c r="E10" s="55" t="inlineStr">
        <is>
          <t>Implement all 3 pagination types on 1M row dataset. Measure query time at page 1 vs page 10,000.</t>
        </is>
      </c>
      <c r="F10" s="55" t="inlineStr">
        <is>
          <t>Use-The-Index-Luke.com — No Offset chapter (free)</t>
        </is>
      </c>
      <c r="G10" s="55" t="inlineStr">
        <is>
          <t>Pagination comparison benchmark</t>
        </is>
      </c>
      <c r="H10" s="56" t="inlineStr">
        <is>
          <t>⬜ Not Started</t>
        </is>
      </c>
      <c r="I10" s="56" t="inlineStr"/>
      <c r="J10" s="56" t="inlineStr"/>
      <c r="K10" s="55" t="inlineStr">
        <is>
          <t>SDE2 interview: always mention cursor pagination for scale</t>
        </is>
      </c>
    </row>
    <row r="11" ht="42" customHeight="1">
      <c r="A11" s="52" t="n">
        <v>56</v>
      </c>
      <c r="B11" s="53" t="inlineStr">
        <is>
          <t>Day 56</t>
        </is>
      </c>
      <c r="C11" s="54" t="inlineStr">
        <is>
          <t>API Documentation</t>
        </is>
      </c>
      <c r="D11" s="57" t="inlineStr">
        <is>
          <t>OpenAPI/Swagger spec, auto-generating docs, versioning docs, Postman collections, API changelogs</t>
        </is>
      </c>
      <c r="E11" s="57" t="inlineStr">
        <is>
          <t>Write full OpenAPI 3.0 spec for your Task Manager API. Generate interactive docs with Swagger UI.</t>
        </is>
      </c>
      <c r="F11" s="57" t="inlineStr">
        <is>
          <t>swagger.io/docs (free)</t>
        </is>
      </c>
      <c r="G11" s="57" t="inlineStr">
        <is>
          <t>Published OpenAPI spec with Swagger UI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9" t="n">
        <v>57</v>
      </c>
      <c r="B12" s="60" t="inlineStr">
        <is>
          <t>Day 57</t>
        </is>
      </c>
      <c r="C12" s="61" t="inlineStr">
        <is>
          <t>REST vs GraphQL vs gRPC — Decision Framework</t>
        </is>
      </c>
      <c r="D12" s="55" t="inlineStr">
        <is>
          <t>When to choose each: REST (public APIs), GraphQL (flexible client needs), gRPC (internal services, performance)</t>
        </is>
      </c>
      <c r="E12" s="55" t="inlineStr">
        <is>
          <t>Given 5 API scenarios, justify the choice. Example: 'public payment API' vs 'internal auth service'.</t>
        </is>
      </c>
      <c r="F12" s="55" t="inlineStr">
        <is>
          <t>ByteByteGo 'REST vs GraphQL vs gRPC' video</t>
        </is>
      </c>
      <c r="G12" s="55" t="inlineStr">
        <is>
          <t>Decision framework document with examples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59" t="n">
        <v>58</v>
      </c>
      <c r="B13" s="60" t="inlineStr">
        <is>
          <t>Day 58</t>
        </is>
      </c>
      <c r="C13" s="61" t="inlineStr">
        <is>
          <t>API Security Basics</t>
        </is>
      </c>
      <c r="D13" s="57" t="inlineStr">
        <is>
          <t>API keys, bearer tokens, mutual TLS, input validation, content-type checking, CORS for APIs</t>
        </is>
      </c>
      <c r="E13" s="57" t="inlineStr">
        <is>
          <t>Add API key auth + input validation to your Task Manager API. Test with invalid inputs.</t>
        </is>
      </c>
      <c r="F13" s="57" t="inlineStr">
        <is>
          <t>OWASP API Security Top 10 (free)</t>
        </is>
      </c>
      <c r="G13" s="57" t="inlineStr">
        <is>
          <t>Secured API with auth + validation middleware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62" t="n">
        <v>59</v>
      </c>
      <c r="B14" s="63" t="inlineStr">
        <is>
          <t>Day 59</t>
        </is>
      </c>
      <c r="C14" s="64" t="inlineStr">
        <is>
          <t>Idempotency in APIs</t>
        </is>
      </c>
      <c r="D14" s="55" t="inlineStr">
        <is>
          <t>Idempotency keys (Stripe pattern), exactly-once semantics, safe retries, deduplication, idempotent database operations</t>
        </is>
      </c>
      <c r="E14" s="55" t="inlineStr">
        <is>
          <t>Implement idempotency key for 'create payment' endpoint. Test duplicate requests return same result.</t>
        </is>
      </c>
      <c r="F14" s="55" t="inlineStr">
        <is>
          <t>Stripe idempotency docs (free)</t>
        </is>
      </c>
      <c r="G14" s="55" t="inlineStr">
        <is>
          <t>Idempotent payment endpoint with Redis dedup</t>
        </is>
      </c>
      <c r="H14" s="56" t="inlineStr">
        <is>
          <t>⬜ Not Started</t>
        </is>
      </c>
      <c r="I14" s="56" t="inlineStr"/>
      <c r="J14" s="56" t="inlineStr"/>
      <c r="K14" s="55" t="inlineStr">
        <is>
          <t>Core SDE2 reliability concept</t>
        </is>
      </c>
    </row>
    <row r="15" ht="42" customHeight="1">
      <c r="A15" s="62" t="n">
        <v>60</v>
      </c>
      <c r="B15" s="63" t="inlineStr">
        <is>
          <t>Day 60</t>
        </is>
      </c>
      <c r="C15" s="64" t="inlineStr">
        <is>
          <t>Phase 5 Review + API Design Review</t>
        </is>
      </c>
      <c r="D15" s="57" t="inlineStr">
        <is>
          <t>Review all API patterns. Design: 'Design a notification API (push, email, SMS)' in 45 minutes.</t>
        </is>
      </c>
      <c r="E15" s="57" t="inlineStr">
        <is>
          <t>Full API design exercise: notification system. Include endpoints, data model, delivery guarantees.</t>
        </is>
      </c>
      <c r="F15" s="57" t="inlineStr">
        <is>
          <t>ByteByteGo notification system design</t>
        </is>
      </c>
      <c r="G15" s="57" t="inlineStr">
        <is>
          <t>Notification system API design doc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24" customHeight="1">
      <c r="A16" s="13" t="inlineStr">
        <is>
          <t>📊 PHASE SUMMARY</t>
        </is>
      </c>
      <c r="H16" s="65">
        <f>COUNTIF(H4:H15,"✅ Completed")&amp;" / 12 done"</f>
        <v/>
      </c>
      <c r="I16" s="66">
        <f>IFERROR(AVERAGE(I4:I15),"–")</f>
        <v/>
      </c>
      <c r="J16" s="67">
        <f>SUM(J4:J15)</f>
        <v/>
      </c>
    </row>
  </sheetData>
  <mergeCells count="3">
    <mergeCell ref="A2:K2"/>
    <mergeCell ref="A16:G16"/>
    <mergeCell ref="A1:K1"/>
  </mergeCells>
  <dataValidations count="2">
    <dataValidation sqref="H4 H5 H6 H7 H8 H9 H10 H11 H12 H13 H14 H15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81" t="inlineStr">
        <is>
          <t>Phase 6: Core Building Blocks  |  Month 2 (Days 61–74)</t>
        </is>
      </c>
    </row>
    <row r="2" ht="20" customHeight="1">
      <c r="A2" s="82" t="inlineStr">
        <is>
          <t>📝 Update STATUS column daily. Use: ⬜ Not Started | 🔵 In Progress | ✅ Completed | 🔄 Revisit | ⭐ Mastered</t>
        </is>
      </c>
    </row>
    <row r="3" ht="32" customHeight="1">
      <c r="A3" s="83" t="inlineStr">
        <is>
          <t>Day</t>
        </is>
      </c>
      <c r="B3" s="83" t="inlineStr">
        <is>
          <t>Date</t>
        </is>
      </c>
      <c r="C3" s="83" t="inlineStr">
        <is>
          <t>Topic</t>
        </is>
      </c>
      <c r="D3" s="83" t="inlineStr">
        <is>
          <t>Subtopics / Concepts</t>
        </is>
      </c>
      <c r="E3" s="83" t="inlineStr">
        <is>
          <t>Daily Task / Exercise</t>
        </is>
      </c>
      <c r="F3" s="83" t="inlineStr">
        <is>
          <t>Resource</t>
        </is>
      </c>
      <c r="G3" s="83" t="inlineStr">
        <is>
          <t>Mini Project / Output</t>
        </is>
      </c>
      <c r="H3" s="83" t="inlineStr">
        <is>
          <t>Status</t>
        </is>
      </c>
      <c r="I3" s="83" t="inlineStr">
        <is>
          <t>Confidence
(1–5)</t>
        </is>
      </c>
      <c r="J3" s="83" t="inlineStr">
        <is>
          <t>Time
Spent (hr)</t>
        </is>
      </c>
      <c r="K3" s="83" t="inlineStr">
        <is>
          <t>Notes / Blockers</t>
        </is>
      </c>
    </row>
    <row r="4" ht="42" customHeight="1">
      <c r="A4" s="59" t="n">
        <v>61</v>
      </c>
      <c r="B4" s="60" t="inlineStr">
        <is>
          <t>Day 61</t>
        </is>
      </c>
      <c r="C4" s="61" t="inlineStr">
        <is>
          <t>Load Balancers — L4 vs L7</t>
        </is>
      </c>
      <c r="D4" s="55" t="inlineStr">
        <is>
          <t>L4 (TCP level: fast, no HTTP awareness), L7 (HTTP level: can inspect headers, cookies, URL routing), HAProxy vs Nginx vs AWS ALB/NLB</t>
        </is>
      </c>
      <c r="E4" s="55" t="inlineStr">
        <is>
          <t>Configure Nginx as an L7 load balancer with 3 upstream servers. Test with curl and ab.</t>
        </is>
      </c>
      <c r="F4" s="55" t="inlineStr">
        <is>
          <t>HAProxy docs + Nginx upstream docs (free)</t>
        </is>
      </c>
      <c r="G4" s="55" t="inlineStr">
        <is>
          <t>L7 load balancer with health checks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9" t="n">
        <v>62</v>
      </c>
      <c r="B5" s="60" t="inlineStr">
        <is>
          <t>Day 62</t>
        </is>
      </c>
      <c r="C5" s="61" t="inlineStr">
        <is>
          <t>Load Balancing Algorithms</t>
        </is>
      </c>
      <c r="D5" s="57" t="inlineStr">
        <is>
          <t>Round robin, weighted round robin, least connections, IP hash, least response time, consistent hashing for stateful</t>
        </is>
      </c>
      <c r="E5" s="57" t="inlineStr">
        <is>
          <t>Configure 3 different Nginx load balancing algorithms. Measure distribution with ab + access logs.</t>
        </is>
      </c>
      <c r="F5" s="57" t="inlineStr">
        <is>
          <t>Nginx LB docs (free)</t>
        </is>
      </c>
      <c r="G5" s="57" t="inlineStr">
        <is>
          <t>LB algorithm comparison report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59" t="n">
        <v>63</v>
      </c>
      <c r="B6" s="60" t="inlineStr">
        <is>
          <t>Day 63</t>
        </is>
      </c>
      <c r="C6" s="61" t="inlineStr">
        <is>
          <t>Caching — Strategies</t>
        </is>
      </c>
      <c r="D6" s="55" t="inlineStr">
        <is>
          <t>Cache-aside (lazy loading), read-through, write-through, write-back (write-behind), write-around. When each applies.</t>
        </is>
      </c>
      <c r="E6" s="55" t="inlineStr">
        <is>
          <t>Implement all 4 cache strategies in code. Test cache miss vs hit for each. Measure latency difference.</t>
        </is>
      </c>
      <c r="F6" s="55" t="inlineStr">
        <is>
          <t>AWS ElastiCache caching strategies (free docs)</t>
        </is>
      </c>
      <c r="G6" s="55" t="inlineStr">
        <is>
          <t>Caching layer for your e-commerce API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64</v>
      </c>
      <c r="B7" s="63" t="inlineStr">
        <is>
          <t>Day 64</t>
        </is>
      </c>
      <c r="C7" s="64" t="inlineStr">
        <is>
          <t>Cache Eviction Policies</t>
        </is>
      </c>
      <c r="D7" s="57" t="inlineStr">
        <is>
          <t>LRU, LFU, FIFO, Random, TTL-based. Implement LRU from scratch. Redis eviction policies.</t>
        </is>
      </c>
      <c r="E7" s="57" t="inlineStr">
        <is>
          <t>Implement LRU cache (LeetCode #146). Implement LFU cache (LeetCode #460). Test both.</t>
        </is>
      </c>
      <c r="F7" s="57" t="inlineStr">
        <is>
          <t>LeetCode + Redis eviction docs</t>
        </is>
      </c>
      <c r="G7" s="57" t="inlineStr">
        <is>
          <t>LRU cache implementation (interview ready)</t>
        </is>
      </c>
      <c r="H7" s="58" t="inlineStr">
        <is>
          <t>⬜ Not Started</t>
        </is>
      </c>
      <c r="I7" s="58" t="inlineStr"/>
      <c r="J7" s="58" t="inlineStr"/>
      <c r="K7" s="57" t="inlineStr">
        <is>
          <t>LRU is one of the most asked LLD problems!</t>
        </is>
      </c>
    </row>
    <row r="8" ht="42" customHeight="1">
      <c r="A8" s="62" t="n">
        <v>65</v>
      </c>
      <c r="B8" s="63" t="inlineStr">
        <is>
          <t>Day 65</t>
        </is>
      </c>
      <c r="C8" s="64" t="inlineStr">
        <is>
          <t>Distributed Cache</t>
        </is>
      </c>
      <c r="D8" s="55" t="inlineStr">
        <is>
          <t>Redis Cluster (hash slots), consistent hashing for cache, cache partitioning, hotspot mitigation, local cache vs distributed</t>
        </is>
      </c>
      <c r="E8" s="55" t="inlineStr">
        <is>
          <t>Set up Redis Cluster (3 nodes locally with Docker). Test failover when one node goes down.</t>
        </is>
      </c>
      <c r="F8" s="55" t="inlineStr">
        <is>
          <t>Redis Cluster tutorial (free docs)</t>
        </is>
      </c>
      <c r="G8" s="55" t="inlineStr">
        <is>
          <t>Redis Cluster with automatic failover demo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2" t="n">
        <v>66</v>
      </c>
      <c r="B9" s="53" t="inlineStr">
        <is>
          <t>Day 66</t>
        </is>
      </c>
      <c r="C9" s="54" t="inlineStr">
        <is>
          <t>HTTP Caching</t>
        </is>
      </c>
      <c r="D9" s="57" t="inlineStr">
        <is>
          <t>Cache-Control headers (max-age, no-cache, no-store, stale-while-revalidate), ETag, Last-Modified, Vary header, browser vs CDN cache</t>
        </is>
      </c>
      <c r="E9" s="57" t="inlineStr">
        <is>
          <t>Add proper Cache-Control headers to your API. Test with browser DevTools. Verify ETag validation.</t>
        </is>
      </c>
      <c r="F9" s="57" t="inlineStr">
        <is>
          <t>MDN HTTP Caching guide (free)</t>
        </is>
      </c>
      <c r="G9" s="57" t="inlineStr">
        <is>
          <t>Caching headers for all endpoints in Task Manager API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67</v>
      </c>
      <c r="B10" s="63" t="inlineStr">
        <is>
          <t>Day 67</t>
        </is>
      </c>
      <c r="C10" s="64" t="inlineStr">
        <is>
          <t>Cache Stampede + Thundering Herd</t>
        </is>
      </c>
      <c r="D10" s="55" t="inlineStr">
        <is>
          <t>Cache stampede: all clients hit DB at once on cache miss. Mutex lock (SETNX), probabilistic early expiration, background refresh.</t>
        </is>
      </c>
      <c r="E10" s="55" t="inlineStr">
        <is>
          <t>Simulate cache stampede with 100 concurrent threads. Fix with Redis SETNX mutex. Compare DB hits.</t>
        </is>
      </c>
      <c r="F10" s="55" t="inlineStr">
        <is>
          <t>Redis best practices blog (free)</t>
        </is>
      </c>
      <c r="G10" s="55" t="inlineStr">
        <is>
          <t>Stampede prevention implementation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59" t="n">
        <v>68</v>
      </c>
      <c r="B11" s="60" t="inlineStr">
        <is>
          <t>Day 68</t>
        </is>
      </c>
      <c r="C11" s="61" t="inlineStr">
        <is>
          <t>CDN Deep Dive</t>
        </is>
      </c>
      <c r="D11" s="57" t="inlineStr">
        <is>
          <t>CDN architecture (PoPs, origin pull vs push), cache invalidation at CDN, dynamic vs static content, CDN for video streaming</t>
        </is>
      </c>
      <c r="E11" s="57" t="inlineStr">
        <is>
          <t>Deploy an asset to Cloudflare CDN. Measure latency from different geographic locations using online tools.</t>
        </is>
      </c>
      <c r="F11" s="57" t="inlineStr">
        <is>
          <t>Cloudflare Learning Center (free)</t>
        </is>
      </c>
      <c r="G11" s="57" t="inlineStr">
        <is>
          <t>CDN performance comparison: direct vs CDN latency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9" t="n">
        <v>69</v>
      </c>
      <c r="B12" s="60" t="inlineStr">
        <is>
          <t>Day 69</t>
        </is>
      </c>
      <c r="C12" s="61" t="inlineStr">
        <is>
          <t>Web Servers — Nginx Deep Dive</t>
        </is>
      </c>
      <c r="D12" s="55" t="inlineStr">
        <is>
          <t>Nginx event loop (non-blocking I/O), worker processes, connection handling, vs Apache (thread-per-request), upstream modules</t>
        </is>
      </c>
      <c r="E12" s="55" t="inlineStr">
        <is>
          <t>Configure Nginx: rate limiting, gzip compression, SSL termination, proxy_pass to app server.</t>
        </is>
      </c>
      <c r="F12" s="55" t="inlineStr">
        <is>
          <t>Nginx official docs (free)</t>
        </is>
      </c>
      <c r="G12" s="55" t="inlineStr">
        <is>
          <t>Production-like Nginx config with all features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59" t="n">
        <v>70</v>
      </c>
      <c r="B13" s="60" t="inlineStr">
        <is>
          <t>Day 70</t>
        </is>
      </c>
      <c r="C13" s="61" t="inlineStr">
        <is>
          <t>Message Queues Intro (Async Preview)</t>
        </is>
      </c>
      <c r="D13" s="57" t="inlineStr">
        <is>
          <t>Why queues (decouple, buffer spikes)? RabbitMQ basics: exchanges, queues, bindings, direct/topic/fanout</t>
        </is>
      </c>
      <c r="E13" s="57" t="inlineStr">
        <is>
          <t>Set up RabbitMQ. Build producer + consumer. Test with 10,000 messages. Observe queue depth.</t>
        </is>
      </c>
      <c r="F13" s="57" t="inlineStr">
        <is>
          <t>RabbitMQ tutorials (free, rabbitmq.com)</t>
        </is>
      </c>
      <c r="G13" s="57" t="inlineStr">
        <is>
          <t>Order processing queue with RabbitMQ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59" t="n">
        <v>71</v>
      </c>
      <c r="B14" s="60" t="inlineStr">
        <is>
          <t>Day 71</t>
        </is>
      </c>
      <c r="C14" s="61" t="inlineStr">
        <is>
          <t>Service Discovery + Health Checks</t>
        </is>
      </c>
      <c r="D14" s="55" t="inlineStr">
        <is>
          <t>Why service discovery? Client-side vs server-side discovery. Consul, etcd. Health checks (liveness, readiness, startup). Heartbeats.</t>
        </is>
      </c>
      <c r="E14" s="55" t="inlineStr">
        <is>
          <t>Set up Consul for service discovery. Register 2 services. Health check endpoint. Watch deregistration on failure.</t>
        </is>
      </c>
      <c r="F14" s="55" t="inlineStr">
        <is>
          <t>Consul getting started (free)</t>
        </is>
      </c>
      <c r="G14" s="55" t="inlineStr">
        <is>
          <t>2-service app with Consul service discovery</t>
        </is>
      </c>
      <c r="H14" s="56" t="inlineStr">
        <is>
          <t>⬜ Not Started</t>
        </is>
      </c>
      <c r="I14" s="56" t="inlineStr"/>
      <c r="J14" s="56" t="inlineStr"/>
      <c r="K14" s="55" t="inlineStr"/>
    </row>
    <row r="15" ht="42" customHeight="1">
      <c r="A15" s="59" t="n">
        <v>72</v>
      </c>
      <c r="B15" s="60" t="inlineStr">
        <is>
          <t>Day 72</t>
        </is>
      </c>
      <c r="C15" s="61" t="inlineStr">
        <is>
          <t>Reverse Proxy Patterns</t>
        </is>
      </c>
      <c r="D15" s="57" t="inlineStr">
        <is>
          <t>API gateway pattern, BFF (Backend for Frontend), sidecar proxy, service mesh intro (Istio), SSL offloading</t>
        </is>
      </c>
      <c r="E15" s="57" t="inlineStr">
        <is>
          <t>Implement BFF: one API for mobile (fewer fields), one for web (full payload). Same backend, different responses.</t>
        </is>
      </c>
      <c r="F15" s="57" t="inlineStr">
        <is>
          <t>Sam Newman 'BFF' article (free)</t>
        </is>
      </c>
      <c r="G15" s="57" t="inlineStr">
        <is>
          <t>BFF pattern with mobile + web endpoints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62" t="n">
        <v>73</v>
      </c>
      <c r="B16" s="63" t="inlineStr">
        <is>
          <t>Day 73</t>
        </is>
      </c>
      <c r="C16" s="64" t="inlineStr">
        <is>
          <t>Rate Limiting Implementation</t>
        </is>
      </c>
      <c r="D16" s="55" t="inlineStr">
        <is>
          <t>Token bucket, leaky bucket, fixed window, sliding window log, sliding window counter. Redis-based implementations.</t>
        </is>
      </c>
      <c r="E16" s="55" t="inlineStr">
        <is>
          <t>Implement all 4 rate limiting algorithms in code. Test burst behavior for token bucket vs fixed window.</t>
        </is>
      </c>
      <c r="F16" s="55" t="inlineStr">
        <is>
          <t>Cloudflare rate limiting blog (free)</t>
        </is>
      </c>
      <c r="G16" s="55" t="inlineStr">
        <is>
          <t>Rate limiter middleware for your API</t>
        </is>
      </c>
      <c r="H16" s="56" t="inlineStr">
        <is>
          <t>⬜ Not Started</t>
        </is>
      </c>
      <c r="I16" s="56" t="inlineStr"/>
      <c r="J16" s="56" t="inlineStr"/>
      <c r="K16" s="55" t="inlineStr"/>
    </row>
    <row r="17" ht="42" customHeight="1">
      <c r="A17" s="62" t="n">
        <v>74</v>
      </c>
      <c r="B17" s="63" t="inlineStr">
        <is>
          <t>Day 74</t>
        </is>
      </c>
      <c r="C17" s="64" t="inlineStr">
        <is>
          <t>Phase 6 Review + Design: URL Shortener Full</t>
        </is>
      </c>
      <c r="D17" s="57" t="inlineStr">
        <is>
          <t>Full URL shortener design: LB + Cache + DB + CDN. All components from Phase 6.</t>
        </is>
      </c>
      <c r="E17" s="57" t="inlineStr">
        <is>
          <t>Design URL shortener: handle 100M redirects/day. Include caching strategy, read/write split, CDN.</t>
        </is>
      </c>
      <c r="F17" s="57" t="inlineStr">
        <is>
          <t>System Design Primer — URL shortener (free)</t>
        </is>
      </c>
      <c r="G17" s="57" t="inlineStr">
        <is>
          <t>Complete URL shortener system design doc</t>
        </is>
      </c>
      <c r="H17" s="58" t="inlineStr">
        <is>
          <t>⬜ Not Started</t>
        </is>
      </c>
      <c r="I17" s="58" t="inlineStr"/>
      <c r="J17" s="58" t="inlineStr"/>
      <c r="K17" s="57" t="inlineStr"/>
    </row>
    <row r="18" ht="24" customHeight="1">
      <c r="A18" s="14" t="inlineStr">
        <is>
          <t>📊 PHASE SUMMARY</t>
        </is>
      </c>
      <c r="H18" s="65">
        <f>COUNTIF(H4:H17,"✅ Completed")&amp;" / 14 done"</f>
        <v/>
      </c>
      <c r="I18" s="66">
        <f>IFERROR(AVERAGE(I4:I17),"–")</f>
        <v/>
      </c>
      <c r="J18" s="67">
        <f>SUM(J4:J17)</f>
        <v/>
      </c>
    </row>
  </sheetData>
  <mergeCells count="3">
    <mergeCell ref="A2:K2"/>
    <mergeCell ref="A1:K1"/>
    <mergeCell ref="A18:G18"/>
  </mergeCells>
  <dataValidations count="2">
    <dataValidation sqref="H4 H5 H6 H7 H8 H9 H10 H11 H12 H13 H14 H15 H16 H17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84" t="inlineStr">
        <is>
          <t>Phase 7: Scaling Fundamentals  |  Month 2 (Days 75–88)</t>
        </is>
      </c>
    </row>
    <row r="2" ht="20" customHeight="1">
      <c r="A2" s="85" t="inlineStr">
        <is>
          <t>📝 Update STATUS column daily. Use: ⬜ Not Started | 🔵 In Progress | ✅ Completed | 🔄 Revisit | ⭐ Mastered</t>
        </is>
      </c>
    </row>
    <row r="3" ht="32" customHeight="1">
      <c r="A3" s="86" t="inlineStr">
        <is>
          <t>Day</t>
        </is>
      </c>
      <c r="B3" s="86" t="inlineStr">
        <is>
          <t>Date</t>
        </is>
      </c>
      <c r="C3" s="86" t="inlineStr">
        <is>
          <t>Topic</t>
        </is>
      </c>
      <c r="D3" s="86" t="inlineStr">
        <is>
          <t>Subtopics / Concepts</t>
        </is>
      </c>
      <c r="E3" s="86" t="inlineStr">
        <is>
          <t>Daily Task / Exercise</t>
        </is>
      </c>
      <c r="F3" s="86" t="inlineStr">
        <is>
          <t>Resource</t>
        </is>
      </c>
      <c r="G3" s="86" t="inlineStr">
        <is>
          <t>Mini Project / Output</t>
        </is>
      </c>
      <c r="H3" s="86" t="inlineStr">
        <is>
          <t>Status</t>
        </is>
      </c>
      <c r="I3" s="86" t="inlineStr">
        <is>
          <t>Confidence
(1–5)</t>
        </is>
      </c>
      <c r="J3" s="86" t="inlineStr">
        <is>
          <t>Time
Spent (hr)</t>
        </is>
      </c>
      <c r="K3" s="86" t="inlineStr">
        <is>
          <t>Notes / Blockers</t>
        </is>
      </c>
    </row>
    <row r="4" ht="42" customHeight="1">
      <c r="A4" s="52" t="n">
        <v>75</v>
      </c>
      <c r="B4" s="53" t="inlineStr">
        <is>
          <t>Day 75</t>
        </is>
      </c>
      <c r="C4" s="54" t="inlineStr">
        <is>
          <t>Vertical vs Horizontal Scaling</t>
        </is>
      </c>
      <c r="D4" s="55" t="inlineStr">
        <is>
          <t>Vertical (bigger machine), horizontal (more machines). Stateless vs stateful services. Auto-scaling (CPU/memory triggers).</t>
        </is>
      </c>
      <c r="E4" s="55" t="inlineStr">
        <is>
          <t>Design a stateless API service. Move session state to Redis. Verify it works with 3 instances.</t>
        </is>
      </c>
      <c r="F4" s="55" t="inlineStr">
        <is>
          <t>AWS Auto Scaling docs (free)</t>
        </is>
      </c>
      <c r="G4" s="55" t="inlineStr">
        <is>
          <t>Stateless API with Redis session store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62" t="n">
        <v>76</v>
      </c>
      <c r="B5" s="63" t="inlineStr">
        <is>
          <t>Day 76</t>
        </is>
      </c>
      <c r="C5" s="64" t="inlineStr">
        <is>
          <t>Master-Slave Replication</t>
        </is>
      </c>
      <c r="D5" s="57" t="inlineStr">
        <is>
          <t>Sync vs async replication, replication lag, read replicas, WAL shipping, logical replication vs physical</t>
        </is>
      </c>
      <c r="E5" s="57" t="inlineStr">
        <is>
          <t>Set up PostgreSQL primary + 1 replica with streaming replication. Measure replication lag under load.</t>
        </is>
      </c>
      <c r="F5" s="57" t="inlineStr">
        <is>
          <t>PostgreSQL replication docs (free)</t>
        </is>
      </c>
      <c r="G5" s="57" t="inlineStr">
        <is>
          <t>PG replication with lag monitoring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62" t="n">
        <v>77</v>
      </c>
      <c r="B6" s="63" t="inlineStr">
        <is>
          <t>Day 77</t>
        </is>
      </c>
      <c r="C6" s="64" t="inlineStr">
        <is>
          <t>Master-Master + Quorum Replication</t>
        </is>
      </c>
      <c r="D6" s="55" t="inlineStr">
        <is>
          <t>Multi-master conflicts, conflict resolution strategies, quorum writes/reads (W+R&gt;N), Dynamo-style replication</t>
        </is>
      </c>
      <c r="E6" s="55" t="inlineStr">
        <is>
          <t>Set up Galera Cluster (MySQL multi-master). Simulate conflict. Observe resolution.</t>
        </is>
      </c>
      <c r="F6" s="55" t="inlineStr">
        <is>
          <t>Galera docs + Dynamo paper summary</t>
        </is>
      </c>
      <c r="G6" s="55" t="inlineStr">
        <is>
          <t>Conflict resolution strategy comparison doc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78</v>
      </c>
      <c r="B7" s="63" t="inlineStr">
        <is>
          <t>Day 78</t>
        </is>
      </c>
      <c r="C7" s="64" t="inlineStr">
        <is>
          <t>Sharding — Strategies</t>
        </is>
      </c>
      <c r="D7" s="57" t="inlineStr">
        <is>
          <t>Range-based, hash-based, geo-based, directory-based sharding. Hot partition problem. Re-sharding cost.</t>
        </is>
      </c>
      <c r="E7" s="57" t="inlineStr">
        <is>
          <t>Design sharding strategy for: Twitter (by user_id), Discord (by guild_id), Instagram (by user_id).</t>
        </is>
      </c>
      <c r="F7" s="57" t="inlineStr">
        <is>
          <t>Vitess sharding docs (free) + ByteByteGo sharding video</t>
        </is>
      </c>
      <c r="G7" s="57" t="inlineStr">
        <is>
          <t>Sharding strategy decision document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62" t="n">
        <v>79</v>
      </c>
      <c r="B8" s="63" t="inlineStr">
        <is>
          <t>Day 79</t>
        </is>
      </c>
      <c r="C8" s="64" t="inlineStr">
        <is>
          <t>Consistent Hashing</t>
        </is>
      </c>
      <c r="D8" s="55" t="inlineStr">
        <is>
          <t>Hash ring, virtual nodes, why virtual nodes help load distribution, adding/removing nodes, rebalancing</t>
        </is>
      </c>
      <c r="E8" s="55" t="inlineStr">
        <is>
          <t>Implement consistent hashing ring in Python/TypeScript. Add virtual nodes. Test load distribution.</t>
        </is>
      </c>
      <c r="F8" s="55" t="inlineStr">
        <is>
          <t>Tom White's Consistent Hashing paper (free)</t>
        </is>
      </c>
      <c r="G8" s="55" t="inlineStr">
        <is>
          <t>Consistent hashing implementation + visual</t>
        </is>
      </c>
      <c r="H8" s="56" t="inlineStr">
        <is>
          <t>⬜ Not Started</t>
        </is>
      </c>
      <c r="I8" s="56" t="inlineStr"/>
      <c r="J8" s="56" t="inlineStr"/>
      <c r="K8" s="55" t="inlineStr">
        <is>
          <t>LeetCode: consistent hashing is asked as coding problem</t>
        </is>
      </c>
    </row>
    <row r="9" ht="42" customHeight="1">
      <c r="A9" s="59" t="n">
        <v>80</v>
      </c>
      <c r="B9" s="60" t="inlineStr">
        <is>
          <t>Day 80</t>
        </is>
      </c>
      <c r="C9" s="61" t="inlineStr">
        <is>
          <t>Database Federation</t>
        </is>
      </c>
      <c r="D9" s="57" t="inlineStr">
        <is>
          <t>Functional partitioning (split by domain: users DB, orders DB, products DB), when to federate, cross-DB queries problem</t>
        </is>
      </c>
      <c r="E9" s="57" t="inlineStr">
        <is>
          <t>Split your e-commerce monolith DB into 3 databases (users, products, orders). Handle cross-DB join in app layer.</t>
        </is>
      </c>
      <c r="F9" s="57" t="inlineStr">
        <is>
          <t>System Design Primer GitHub (free)</t>
        </is>
      </c>
      <c r="G9" s="57" t="inlineStr">
        <is>
          <t>Federated DB e-commerce with cross-DB joins in code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81</v>
      </c>
      <c r="B10" s="63" t="inlineStr">
        <is>
          <t>Day 81</t>
        </is>
      </c>
      <c r="C10" s="64" t="inlineStr">
        <is>
          <t>CQRS Pattern</t>
        </is>
      </c>
      <c r="D10" s="55" t="inlineStr">
        <is>
          <t>Command Query Responsibility Segregation: separate write model and read model. Event-driven sync between models. Read replicas as CQRS.</t>
        </is>
      </c>
      <c r="E10" s="55" t="inlineStr">
        <is>
          <t>Implement CQRS for orders: write to PostgreSQL, async sync to Elasticsearch for search queries.</t>
        </is>
      </c>
      <c r="F10" s="55" t="inlineStr">
        <is>
          <t>Martin Fowler CQRS article (free)</t>
        </is>
      </c>
      <c r="G10" s="55" t="inlineStr">
        <is>
          <t>CQRS order service with search</t>
        </is>
      </c>
      <c r="H10" s="56" t="inlineStr">
        <is>
          <t>⬜ Not Started</t>
        </is>
      </c>
      <c r="I10" s="56" t="inlineStr"/>
      <c r="J10" s="56" t="inlineStr"/>
      <c r="K10" s="55" t="inlineStr">
        <is>
          <t>CQRS + Event Sourcing is SDE2 architecture knowledge</t>
        </is>
      </c>
    </row>
    <row r="11" ht="42" customHeight="1">
      <c r="A11" s="59" t="n">
        <v>82</v>
      </c>
      <c r="B11" s="60" t="inlineStr">
        <is>
          <t>Day 82</t>
        </is>
      </c>
      <c r="C11" s="61" t="inlineStr">
        <is>
          <t>Materialized Views + Denormalization</t>
        </is>
      </c>
      <c r="D11" s="57" t="inlineStr">
        <is>
          <t>Materialized views (precomputed queries), refresh strategies (eager vs lazy), denormalization for reads, tradeoffs</t>
        </is>
      </c>
      <c r="E11" s="57" t="inlineStr">
        <is>
          <t>Create materialized views for 3 slow analytical queries. Benchmark with and without.</t>
        </is>
      </c>
      <c r="F11" s="57" t="inlineStr">
        <is>
          <t>PostgreSQL materialized views docs (free)</t>
        </is>
      </c>
      <c r="G11" s="57" t="inlineStr">
        <is>
          <t>Analytics service using materialized views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62" t="n">
        <v>83</v>
      </c>
      <c r="B12" s="63" t="inlineStr">
        <is>
          <t>Day 83</t>
        </is>
      </c>
      <c r="C12" s="64" t="inlineStr">
        <is>
          <t>Hot Partitions + Scaling Bottlenecks</t>
        </is>
      </c>
      <c r="D12" s="55" t="inlineStr">
        <is>
          <t>Celebrity problem (hot keys in sharding), write hotspots, read hotspots, random key suffix trick, time-based hotspots</t>
        </is>
      </c>
      <c r="E12" s="55" t="inlineStr">
        <is>
          <t>Simulate hot partition: write 1000 events per second to one Redis key. Fix with key suffixing.</t>
        </is>
      </c>
      <c r="F12" s="55" t="inlineStr">
        <is>
          <t>DynamoDB hot key blog (AWS, free)</t>
        </is>
      </c>
      <c r="G12" s="55" t="inlineStr">
        <is>
          <t>Hot partition mitigation demonstration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62" t="n">
        <v>84</v>
      </c>
      <c r="B13" s="63" t="inlineStr">
        <is>
          <t>Day 84</t>
        </is>
      </c>
      <c r="C13" s="64" t="inlineStr">
        <is>
          <t>Database Proxies + PgBouncer Deep Dive</t>
        </is>
      </c>
      <c r="D13" s="57" t="inlineStr">
        <is>
          <t>PgBouncer session mode vs transaction mode vs statement mode. Prepared statement limitations. pgcat (newer alternative).</t>
        </is>
      </c>
      <c r="E13" s="57" t="inlineStr">
        <is>
          <t>Benchmark pgbench with connection pooling modes. Find the inflection point (connections vs throughput).</t>
        </is>
      </c>
      <c r="F13" s="57" t="inlineStr">
        <is>
          <t>PgBouncer docs + pgbench tutorial (free)</t>
        </is>
      </c>
      <c r="G13" s="57" t="inlineStr">
        <is>
          <t>Connection pooling benchmark report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59" t="n">
        <v>85</v>
      </c>
      <c r="B14" s="60" t="inlineStr">
        <is>
          <t>Day 85</t>
        </is>
      </c>
      <c r="C14" s="61" t="inlineStr">
        <is>
          <t>Read Replica Routing</t>
        </is>
      </c>
      <c r="D14" s="55" t="inlineStr">
        <is>
          <t>Automatic read/write splitting (ProxySQL, pgpool-II), replication lag awareness, consistency after write</t>
        </is>
      </c>
      <c r="E14" s="55" t="inlineStr">
        <is>
          <t>Implement read/write routing in your app: writes to primary, reads to replica. Handle lag with retry.</t>
        </is>
      </c>
      <c r="F14" s="55" t="inlineStr">
        <is>
          <t>ProxySQL docs (free)</t>
        </is>
      </c>
      <c r="G14" s="55" t="inlineStr">
        <is>
          <t>App with automatic read/write splitting</t>
        </is>
      </c>
      <c r="H14" s="56" t="inlineStr">
        <is>
          <t>⬜ Not Started</t>
        </is>
      </c>
      <c r="I14" s="56" t="inlineStr"/>
      <c r="J14" s="56" t="inlineStr"/>
      <c r="K14" s="55" t="inlineStr"/>
    </row>
    <row r="15" ht="42" customHeight="1">
      <c r="A15" s="59" t="n">
        <v>86</v>
      </c>
      <c r="B15" s="60" t="inlineStr">
        <is>
          <t>Day 86</t>
        </is>
      </c>
      <c r="C15" s="61" t="inlineStr">
        <is>
          <t>Auto-Scaling + Cloud Scaling Patterns</t>
        </is>
      </c>
      <c r="D15" s="57" t="inlineStr">
        <is>
          <t>Horizontal pod autoscaler (K8s HPA), target tracking policies, scale-in/scale-out cooldowns, predictive scaling</t>
        </is>
      </c>
      <c r="E15" s="57" t="inlineStr">
        <is>
          <t>Set up Docker Compose scaling (docker-compose up --scale). Test with load generator.</t>
        </is>
      </c>
      <c r="F15" s="57" t="inlineStr">
        <is>
          <t>Docker Compose docs + Kubernetes HPA docs (free)</t>
        </is>
      </c>
      <c r="G15" s="57" t="inlineStr">
        <is>
          <t>Auto-scaling demo with load test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62" t="n">
        <v>87</v>
      </c>
      <c r="B16" s="63" t="inlineStr">
        <is>
          <t>Day 87</t>
        </is>
      </c>
      <c r="C16" s="64" t="inlineStr">
        <is>
          <t>Distributed ID Generation</t>
        </is>
      </c>
      <c r="D16" s="55" t="inlineStr">
        <is>
          <t>UUID pros/cons, Twitter Snowflake (timestamp + machine ID + sequence), ULID, NanoID, database sequences vs app-generated</t>
        </is>
      </c>
      <c r="E16" s="55" t="inlineStr">
        <is>
          <t>Implement Snowflake ID generator in TypeScript/Python. Verify monotonic ordering and uniqueness.</t>
        </is>
      </c>
      <c r="F16" s="55" t="inlineStr">
        <is>
          <t>Twitter Snowflake blog (archived, free)</t>
        </is>
      </c>
      <c r="G16" s="55" t="inlineStr">
        <is>
          <t>Snowflake ID generator library</t>
        </is>
      </c>
      <c r="H16" s="56" t="inlineStr">
        <is>
          <t>⬜ Not Started</t>
        </is>
      </c>
      <c r="I16" s="56" t="inlineStr"/>
      <c r="J16" s="56" t="inlineStr"/>
      <c r="K16" s="55" t="inlineStr">
        <is>
          <t>Distributed ID generator is a Tier 1 design problem!</t>
        </is>
      </c>
    </row>
    <row r="17" ht="42" customHeight="1">
      <c r="A17" s="62" t="n">
        <v>88</v>
      </c>
      <c r="B17" s="63" t="inlineStr">
        <is>
          <t>Day 88</t>
        </is>
      </c>
      <c r="C17" s="64" t="inlineStr">
        <is>
          <t>Phase 7 Review + Design: Instagram Feed</t>
        </is>
      </c>
      <c r="D17" s="57" t="inlineStr">
        <is>
          <t>Apply scaling knowledge: sharding, caching, read replicas, consistent hashing. Design Instagram feed.</t>
        </is>
      </c>
      <c r="E17" s="57" t="inlineStr">
        <is>
          <t>Design Instagram feed: fanout on write vs fanout on read. Handle celebrities. Estimate storage.</t>
        </is>
      </c>
      <c r="F17" s="57" t="inlineStr">
        <is>
          <t>ByteByteGo 'Design Instagram' video (free sample)</t>
        </is>
      </c>
      <c r="G17" s="57" t="inlineStr">
        <is>
          <t>Instagram feed system design doc</t>
        </is>
      </c>
      <c r="H17" s="58" t="inlineStr">
        <is>
          <t>⬜ Not Started</t>
        </is>
      </c>
      <c r="I17" s="58" t="inlineStr"/>
      <c r="J17" s="58" t="inlineStr"/>
      <c r="K17" s="57" t="inlineStr"/>
    </row>
    <row r="18" ht="24" customHeight="1">
      <c r="A18" s="15" t="inlineStr">
        <is>
          <t>📊 PHASE SUMMARY</t>
        </is>
      </c>
      <c r="H18" s="65">
        <f>COUNTIF(H4:H17,"✅ Completed")&amp;" / 14 done"</f>
        <v/>
      </c>
      <c r="I18" s="66">
        <f>IFERROR(AVERAGE(I4:I17),"–")</f>
        <v/>
      </c>
      <c r="J18" s="67">
        <f>SUM(J4:J17)</f>
        <v/>
      </c>
    </row>
  </sheetData>
  <mergeCells count="3">
    <mergeCell ref="A2:K2"/>
    <mergeCell ref="A1:K1"/>
    <mergeCell ref="A18:G18"/>
  </mergeCells>
  <dataValidations count="2">
    <dataValidation sqref="H4 H5 H6 H7 H8 H9 H10 H11 H12 H13 H14 H15 H16 H17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87" t="inlineStr">
        <is>
          <t>Phase 8: Distributed Systems Theory  |  Month 3 (Days 89–104)</t>
        </is>
      </c>
    </row>
    <row r="2" ht="20" customHeight="1">
      <c r="A2" s="88" t="inlineStr">
        <is>
          <t>📝 Update STATUS column daily. Use: ⬜ Not Started | 🔵 In Progress | ✅ Completed | 🔄 Revisit | ⭐ Mastered</t>
        </is>
      </c>
    </row>
    <row r="3" ht="32" customHeight="1">
      <c r="A3" s="89" t="inlineStr">
        <is>
          <t>Day</t>
        </is>
      </c>
      <c r="B3" s="89" t="inlineStr">
        <is>
          <t>Date</t>
        </is>
      </c>
      <c r="C3" s="89" t="inlineStr">
        <is>
          <t>Topic</t>
        </is>
      </c>
      <c r="D3" s="89" t="inlineStr">
        <is>
          <t>Subtopics / Concepts</t>
        </is>
      </c>
      <c r="E3" s="89" t="inlineStr">
        <is>
          <t>Daily Task / Exercise</t>
        </is>
      </c>
      <c r="F3" s="89" t="inlineStr">
        <is>
          <t>Resource</t>
        </is>
      </c>
      <c r="G3" s="89" t="inlineStr">
        <is>
          <t>Mini Project / Output</t>
        </is>
      </c>
      <c r="H3" s="89" t="inlineStr">
        <is>
          <t>Status</t>
        </is>
      </c>
      <c r="I3" s="89" t="inlineStr">
        <is>
          <t>Confidence
(1–5)</t>
        </is>
      </c>
      <c r="J3" s="89" t="inlineStr">
        <is>
          <t>Time
Spent (hr)</t>
        </is>
      </c>
      <c r="K3" s="89" t="inlineStr">
        <is>
          <t>Notes / Blockers</t>
        </is>
      </c>
    </row>
    <row r="4" ht="42" customHeight="1">
      <c r="A4" s="59" t="n">
        <v>89</v>
      </c>
      <c r="B4" s="60" t="inlineStr">
        <is>
          <t>Day 89</t>
        </is>
      </c>
      <c r="C4" s="61" t="inlineStr">
        <is>
          <t>CAP Theorem</t>
        </is>
      </c>
      <c r="D4" s="55" t="inlineStr">
        <is>
          <t>Consistency vs Availability vs Partition Tolerance. Why only 2 of 3 during partition. CP vs AP systems.</t>
        </is>
      </c>
      <c r="E4" s="55" t="inlineStr">
        <is>
          <t>Classify 5 systems (PostgreSQL, Cassandra, DynamoDB, Redis, Zookeeper) as CP or AP. Justify each.</t>
        </is>
      </c>
      <c r="F4" s="55" t="inlineStr">
        <is>
          <t>Martin Kleppmann 'Please stop calling databases CP or AP' (free blog)</t>
        </is>
      </c>
      <c r="G4" s="55" t="inlineStr">
        <is>
          <t>CAP classification matrix with justifications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62" t="n">
        <v>90</v>
      </c>
      <c r="B5" s="63" t="inlineStr">
        <is>
          <t>Day 90</t>
        </is>
      </c>
      <c r="C5" s="64" t="inlineStr">
        <is>
          <t>PACELC Theorem</t>
        </is>
      </c>
      <c r="D5" s="57" t="inlineStr">
        <is>
          <t>Extension of CAP: during normal operation (no partition), trade Latency vs Consistency. DynamoDB (EL), Cassandra (EL), PostgreSQL (EC).</t>
        </is>
      </c>
      <c r="E5" s="57" t="inlineStr">
        <is>
          <t>For your Cassandra cluster, test consistency vs latency tradeoff: QUORUM vs ONE vs ALL consistency levels.</t>
        </is>
      </c>
      <c r="F5" s="57" t="inlineStr">
        <is>
          <t>PACELC paper by Daniel Abadi (free)</t>
        </is>
      </c>
      <c r="G5" s="57" t="inlineStr">
        <is>
          <t>Latency vs consistency benchmark for Cassandra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62" t="n">
        <v>91</v>
      </c>
      <c r="B6" s="63" t="inlineStr">
        <is>
          <t>Day 91</t>
        </is>
      </c>
      <c r="C6" s="64" t="inlineStr">
        <is>
          <t>Consistency Models</t>
        </is>
      </c>
      <c r="D6" s="55" t="inlineStr">
        <is>
          <t>Linearizable, sequential, causal, eventual, strong eventual, monotonic reads, read-your-writes, session consistency</t>
        </is>
      </c>
      <c r="E6" s="55" t="inlineStr">
        <is>
          <t>Draw a timeline diagram for each consistency model showing allowed/disallowed orderings.</t>
        </is>
      </c>
      <c r="F6" s="55" t="inlineStr">
        <is>
          <t>Jepsen.io consistency models (free)</t>
        </is>
      </c>
      <c r="G6" s="55" t="inlineStr">
        <is>
          <t>Consistency models visual reference sheet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92</v>
      </c>
      <c r="B7" s="63" t="inlineStr">
        <is>
          <t>Day 92</t>
        </is>
      </c>
      <c r="C7" s="64" t="inlineStr">
        <is>
          <t>Paxos Consensus</t>
        </is>
      </c>
      <c r="D7" s="57" t="inlineStr">
        <is>
          <t>Paxos phases (Prepare/Promise/Accept/Accepted), quorum, why leader election, Paxos Made Simple paper</t>
        </is>
      </c>
      <c r="E7" s="57" t="inlineStr">
        <is>
          <t>Watch Leslie Lamport's Paxos lecture. Trace a 5-node Paxos round manually on paper.</t>
        </is>
      </c>
      <c r="F7" s="57" t="inlineStr">
        <is>
          <t>Paxos Made Simple paper (free PDF)</t>
        </is>
      </c>
      <c r="G7" s="57" t="inlineStr">
        <is>
          <t>Paxos walkthrough diagram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62" t="n">
        <v>93</v>
      </c>
      <c r="B8" s="63" t="inlineStr">
        <is>
          <t>Day 93</t>
        </is>
      </c>
      <c r="C8" s="64" t="inlineStr">
        <is>
          <t>Raft Consensus</t>
        </is>
      </c>
      <c r="D8" s="55" t="inlineStr">
        <is>
          <t>Leader election, log replication, commitment rules, safety properties, split vote, term number</t>
        </is>
      </c>
      <c r="E8" s="55" t="inlineStr">
        <is>
          <t>Use raft.github.io visualization. Simulate node failures. Build a Raft log replication in code (or use a library).</t>
        </is>
      </c>
      <c r="F8" s="55" t="inlineStr">
        <is>
          <t>Raft paper + raft.github.io (free)</t>
        </is>
      </c>
      <c r="G8" s="55" t="inlineStr">
        <is>
          <t>Raft visualization with annotated notes</t>
        </is>
      </c>
      <c r="H8" s="56" t="inlineStr">
        <is>
          <t>⬜ Not Started</t>
        </is>
      </c>
      <c r="I8" s="56" t="inlineStr"/>
      <c r="J8" s="56" t="inlineStr"/>
      <c r="K8" s="55" t="inlineStr">
        <is>
          <t>Raft is asked in SDE2/SDE3 interviews at top companies</t>
        </is>
      </c>
    </row>
    <row r="9" ht="42" customHeight="1">
      <c r="A9" s="62" t="n">
        <v>94</v>
      </c>
      <c r="B9" s="63" t="inlineStr">
        <is>
          <t>Day 94</t>
        </is>
      </c>
      <c r="C9" s="64" t="inlineStr">
        <is>
          <t>Leader Election</t>
        </is>
      </c>
      <c r="D9" s="57" t="inlineStr">
        <is>
          <t>Bully algorithm, ring-based election, ZooKeeper ephemeral nodes for election, etcd leader election, split brain</t>
        </is>
      </c>
      <c r="E9" s="57" t="inlineStr">
        <is>
          <t>Implement leader election using Redis SETNX (simple) and ZooKeeper ephemeral nodes (robust).</t>
        </is>
      </c>
      <c r="F9" s="57" t="inlineStr">
        <is>
          <t>ZooKeeper recipes docs (free)</t>
        </is>
      </c>
      <c r="G9" s="57" t="inlineStr">
        <is>
          <t>Leader election service with failover demo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95</v>
      </c>
      <c r="B10" s="63" t="inlineStr">
        <is>
          <t>Day 95</t>
        </is>
      </c>
      <c r="C10" s="64" t="inlineStr">
        <is>
          <t>Two-Phase Commit (2PC)</t>
        </is>
      </c>
      <c r="D10" s="55" t="inlineStr">
        <is>
          <t>Prepare and Commit phases, coordinator, participants, failure modes, blocking problem, 3PC intro</t>
        </is>
      </c>
      <c r="E10" s="55" t="inlineStr">
        <is>
          <t>Implement 2PC for a distributed bank transfer (two databases). Simulate coordinator failure.</t>
        </is>
      </c>
      <c r="F10" s="55" t="inlineStr">
        <is>
          <t>MIT 6.824 Lecture on 2PC (YouTube, free)</t>
        </is>
      </c>
      <c r="G10" s="55" t="inlineStr">
        <is>
          <t>2PC bank transfer with failure simulation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62" t="n">
        <v>96</v>
      </c>
      <c r="B11" s="63" t="inlineStr">
        <is>
          <t>Day 96</t>
        </is>
      </c>
      <c r="C11" s="64" t="inlineStr">
        <is>
          <t>Vector Clocks + Lamport Timestamps</t>
        </is>
      </c>
      <c r="D11" s="57" t="inlineStr">
        <is>
          <t>Lamport logical clocks (happens-before), vector clocks (per-node counters), conflict detection</t>
        </is>
      </c>
      <c r="E11" s="57" t="inlineStr">
        <is>
          <t>Simulate 3-node system with Lamport timestamps. Show happens-before relationship. Implement vector clock.</t>
        </is>
      </c>
      <c r="F11" s="57" t="inlineStr">
        <is>
          <t>Leslie Lamport original paper (free)</t>
        </is>
      </c>
      <c r="G11" s="57" t="inlineStr">
        <is>
          <t>Vector clock implementation with conflict detection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9" t="n">
        <v>97</v>
      </c>
      <c r="B12" s="60" t="inlineStr">
        <is>
          <t>Day 97</t>
        </is>
      </c>
      <c r="C12" s="61" t="inlineStr">
        <is>
          <t>Gossip Protocols</t>
        </is>
      </c>
      <c r="D12" s="55" t="inlineStr">
        <is>
          <t>How gossip spreads information, convergence time, anti-entropy, Cassandra gossip (node discovery, failure detection)</t>
        </is>
      </c>
      <c r="E12" s="55" t="inlineStr">
        <is>
          <t>Simulate gossip protocol in code: 10 nodes, one has new info, measure rounds to full propagation.</t>
        </is>
      </c>
      <c r="F12" s="55" t="inlineStr">
        <is>
          <t>Cassandra gossip docs + Hashicorp Memberlist</t>
        </is>
      </c>
      <c r="G12" s="55" t="inlineStr">
        <is>
          <t>Gossip simulation with convergence graph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62" t="n">
        <v>98</v>
      </c>
      <c r="B13" s="63" t="inlineStr">
        <is>
          <t>Day 98</t>
        </is>
      </c>
      <c r="C13" s="64" t="inlineStr">
        <is>
          <t>Failure Detection (Phi Accrual)</t>
        </is>
      </c>
      <c r="D13" s="57" t="inlineStr">
        <is>
          <t>Heartbeats, timeout-based detection problems, phi accrual detector (Cassandra, Akka), suspicion level</t>
        </is>
      </c>
      <c r="E13" s="57" t="inlineStr">
        <is>
          <t>Implement simple heartbeat-based failure detector. Then implement phi accrual version. Compare false positive rates.</t>
        </is>
      </c>
      <c r="F13" s="57" t="inlineStr">
        <is>
          <t>Phi Accrual paper (free PDF)</t>
        </is>
      </c>
      <c r="G13" s="57" t="inlineStr">
        <is>
          <t>Failure detector comparison implementation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62" t="n">
        <v>99</v>
      </c>
      <c r="B14" s="63" t="inlineStr">
        <is>
          <t>Day 99</t>
        </is>
      </c>
      <c r="C14" s="64" t="inlineStr">
        <is>
          <t>CRDTs — Conflict-Free Data Types</t>
        </is>
      </c>
      <c r="D14" s="55" t="inlineStr">
        <is>
          <t>CRDT types: G-Counter, PN-Counter, G-Set, OR-Set, LWW-Register. Why Figma, Redis, Riak use them.</t>
        </is>
      </c>
      <c r="E14" s="55" t="inlineStr">
        <is>
          <t>Implement G-Counter (grow-only counter) and OR-Set (observed-remove set) CRDTs from scratch.</t>
        </is>
      </c>
      <c r="F14" s="55" t="inlineStr">
        <is>
          <t>CRDT papers by Marc Shapiro (free)</t>
        </is>
      </c>
      <c r="G14" s="55" t="inlineStr">
        <is>
          <t>CRDT collaborative counter demo</t>
        </is>
      </c>
      <c r="H14" s="56" t="inlineStr">
        <is>
          <t>⬜ Not Started</t>
        </is>
      </c>
      <c r="I14" s="56" t="inlineStr"/>
      <c r="J14" s="56" t="inlineStr"/>
      <c r="K14" s="55" t="inlineStr">
        <is>
          <t>Collaborative editing (Google Docs) uses CRDTs</t>
        </is>
      </c>
    </row>
    <row r="15" ht="42" customHeight="1">
      <c r="A15" s="62" t="n">
        <v>100</v>
      </c>
      <c r="B15" s="63" t="inlineStr">
        <is>
          <t>Day 100</t>
        </is>
      </c>
      <c r="C15" s="64" t="inlineStr">
        <is>
          <t>Split Brain + Network Partitions</t>
        </is>
      </c>
      <c r="D15" s="57" t="inlineStr">
        <is>
          <t>Split brain scenarios, fencing tokens, STONITH, ZooKeeper quorum prevents it, network partition handling</t>
        </is>
      </c>
      <c r="E15" s="57" t="inlineStr">
        <is>
          <t>Simulate split brain: two Redis instances isolated, both serving writes. Use Sentinel to compare resolution.</t>
        </is>
      </c>
      <c r="F15" s="57" t="inlineStr">
        <is>
          <t>Kyle Kingsbury's Jepsen reports (free)</t>
        </is>
      </c>
      <c r="G15" s="57" t="inlineStr">
        <is>
          <t>Split brain simulation and recovery demo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62" t="n">
        <v>101</v>
      </c>
      <c r="B16" s="63" t="inlineStr">
        <is>
          <t>Day 101</t>
        </is>
      </c>
      <c r="C16" s="64" t="inlineStr">
        <is>
          <t>Distributed Transactions — Saga Pattern Preview</t>
        </is>
      </c>
      <c r="D16" s="55" t="inlineStr">
        <is>
          <t>Why 2PC is hard at scale. Saga pattern (choreography vs orchestration). Compensating transactions.</t>
        </is>
      </c>
      <c r="E16" s="55" t="inlineStr">
        <is>
          <t>Design order fulfillment saga: Reserve inventory → Charge payment → Dispatch. Handle each failure.</t>
        </is>
      </c>
      <c r="F16" s="55" t="inlineStr">
        <is>
          <t>Saga pattern microservices.io (free)</t>
        </is>
      </c>
      <c r="G16" s="55" t="inlineStr">
        <is>
          <t>Order fulfillment saga design with compensation</t>
        </is>
      </c>
      <c r="H16" s="56" t="inlineStr">
        <is>
          <t>⬜ Not Started</t>
        </is>
      </c>
      <c r="I16" s="56" t="inlineStr"/>
      <c r="J16" s="56" t="inlineStr"/>
      <c r="K16" s="55" t="inlineStr">
        <is>
          <t>Ties to Phase 10 (Architecture Patterns)</t>
        </is>
      </c>
    </row>
    <row r="17" ht="42" customHeight="1">
      <c r="A17" s="62" t="n">
        <v>102</v>
      </c>
      <c r="B17" s="63" t="inlineStr">
        <is>
          <t>Day 102</t>
        </is>
      </c>
      <c r="C17" s="64" t="inlineStr">
        <is>
          <t>Byzantine Fault Tolerance</t>
        </is>
      </c>
      <c r="D17" s="57" t="inlineStr">
        <is>
          <t>Byzantine generals problem, malicious vs fail-stop faults, PBFT (Practical BFT), blockchain connection</t>
        </is>
      </c>
      <c r="E17" s="57" t="inlineStr">
        <is>
          <t>Study PBFT algorithm. Explain why you need 3f+1 nodes to tolerate f Byzantine faults.</t>
        </is>
      </c>
      <c r="F17" s="57" t="inlineStr">
        <is>
          <t>PBFT paper summary + ByteByteGo video</t>
        </is>
      </c>
      <c r="G17" s="57" t="inlineStr">
        <is>
          <t>BFT explainer document</t>
        </is>
      </c>
      <c r="H17" s="58" t="inlineStr">
        <is>
          <t>⬜ Not Started</t>
        </is>
      </c>
      <c r="I17" s="58" t="inlineStr"/>
      <c r="J17" s="58" t="inlineStr"/>
      <c r="K17" s="57" t="inlineStr"/>
    </row>
    <row r="18" ht="42" customHeight="1">
      <c r="A18" s="59" t="n">
        <v>103</v>
      </c>
      <c r="B18" s="60" t="inlineStr">
        <is>
          <t>Day 103</t>
        </is>
      </c>
      <c r="C18" s="61" t="inlineStr">
        <is>
          <t>Service Discovery Deep Dive</t>
        </is>
      </c>
      <c r="D18" s="55" t="inlineStr">
        <is>
          <t>Client-side (Ribbon), server-side (AWS ALB), self-registration vs third-party, Consul health checks + KV</t>
        </is>
      </c>
      <c r="E18" s="55" t="inlineStr">
        <is>
          <t>Set up Consul cluster (3 nodes). Register services. Watch automated deregistration on health failure.</t>
        </is>
      </c>
      <c r="F18" s="55" t="inlineStr">
        <is>
          <t>Consul architecture docs (free)</t>
        </is>
      </c>
      <c r="G18" s="55" t="inlineStr">
        <is>
          <t>Multi-service app with Consul service mesh</t>
        </is>
      </c>
      <c r="H18" s="56" t="inlineStr">
        <is>
          <t>⬜ Not Started</t>
        </is>
      </c>
      <c r="I18" s="56" t="inlineStr"/>
      <c r="J18" s="56" t="inlineStr"/>
      <c r="K18" s="55" t="inlineStr"/>
    </row>
    <row r="19" ht="42" customHeight="1">
      <c r="A19" s="62" t="n">
        <v>104</v>
      </c>
      <c r="B19" s="63" t="inlineStr">
        <is>
          <t>Day 104</t>
        </is>
      </c>
      <c r="C19" s="64" t="inlineStr">
        <is>
          <t>MIT 6.824 Lab Review + Phase 8 Summary</t>
        </is>
      </c>
      <c r="D19" s="57" t="inlineStr">
        <is>
          <t>Review all distributed systems concepts. Key distinctions: Paxos vs Raft, 2PC vs Saga, CP vs AP</t>
        </is>
      </c>
      <c r="E19" s="57" t="inlineStr">
        <is>
          <t>Design: 'Design a distributed key-value store' (MapReduce + Raft + sharding). 60-minute mock.</t>
        </is>
      </c>
      <c r="F19" s="57" t="inlineStr">
        <is>
          <t>MIT 6.824 Lab 3 (Raft KV store) specs (free)</t>
        </is>
      </c>
      <c r="G19" s="57" t="inlineStr">
        <is>
          <t>Distributed KV store design doc</t>
        </is>
      </c>
      <c r="H19" s="58" t="inlineStr">
        <is>
          <t>⬜ Not Started</t>
        </is>
      </c>
      <c r="I19" s="58" t="inlineStr"/>
      <c r="J19" s="58" t="inlineStr"/>
      <c r="K19" s="57" t="inlineStr"/>
    </row>
    <row r="20" ht="24" customHeight="1">
      <c r="A20" s="90" t="inlineStr">
        <is>
          <t>📊 PHASE SUMMARY</t>
        </is>
      </c>
      <c r="H20" s="65">
        <f>COUNTIF(H4:H19,"✅ Completed")&amp;" / 16 done"</f>
        <v/>
      </c>
      <c r="I20" s="66">
        <f>IFERROR(AVERAGE(I4:I19),"–")</f>
        <v/>
      </c>
      <c r="J20" s="67">
        <f>SUM(J4:J19)</f>
        <v/>
      </c>
    </row>
  </sheetData>
  <mergeCells count="3">
    <mergeCell ref="A2:K2"/>
    <mergeCell ref="A20:G20"/>
    <mergeCell ref="A1:K1"/>
  </mergeCells>
  <dataValidations count="2">
    <dataValidation sqref="H4 H5 H6 H7 H8 H9 H10 H11 H12 H13 H14 H15 H16 H17 H18 H19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 I18 I1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1" t="inlineStr">
        <is>
          <t>Phase 9: Async &amp; Event Processing  |  Month 3 (Days 105–118)</t>
        </is>
      </c>
    </row>
    <row r="2" ht="20" customHeight="1">
      <c r="A2" s="72" t="inlineStr">
        <is>
          <t>📝 Update STATUS column daily. Use: ⬜ Not Started | 🔵 In Progress | ✅ Completed | 🔄 Revisit | ⭐ Mastered</t>
        </is>
      </c>
    </row>
    <row r="3" ht="32" customHeight="1">
      <c r="A3" s="73" t="inlineStr">
        <is>
          <t>Day</t>
        </is>
      </c>
      <c r="B3" s="73" t="inlineStr">
        <is>
          <t>Date</t>
        </is>
      </c>
      <c r="C3" s="73" t="inlineStr">
        <is>
          <t>Topic</t>
        </is>
      </c>
      <c r="D3" s="73" t="inlineStr">
        <is>
          <t>Subtopics / Concepts</t>
        </is>
      </c>
      <c r="E3" s="73" t="inlineStr">
        <is>
          <t>Daily Task / Exercise</t>
        </is>
      </c>
      <c r="F3" s="73" t="inlineStr">
        <is>
          <t>Resource</t>
        </is>
      </c>
      <c r="G3" s="73" t="inlineStr">
        <is>
          <t>Mini Project / Output</t>
        </is>
      </c>
      <c r="H3" s="73" t="inlineStr">
        <is>
          <t>Status</t>
        </is>
      </c>
      <c r="I3" s="73" t="inlineStr">
        <is>
          <t>Confidence
(1–5)</t>
        </is>
      </c>
      <c r="J3" s="73" t="inlineStr">
        <is>
          <t>Time
Spent (hr)</t>
        </is>
      </c>
      <c r="K3" s="73" t="inlineStr">
        <is>
          <t>Notes / Blockers</t>
        </is>
      </c>
    </row>
    <row r="4" ht="42" customHeight="1">
      <c r="A4" s="59" t="n">
        <v>105</v>
      </c>
      <c r="B4" s="60" t="inlineStr">
        <is>
          <t>Day 105</t>
        </is>
      </c>
      <c r="C4" s="61" t="inlineStr">
        <is>
          <t>Message Queues Deep Dive</t>
        </is>
      </c>
      <c r="D4" s="55" t="inlineStr">
        <is>
          <t>Queue semantics, point-to-point vs pub/sub, at-least-once vs at-most-once vs exactly-once, DLQ</t>
        </is>
      </c>
      <c r="E4" s="55" t="inlineStr">
        <is>
          <t>RabbitMQ: implement DLQ for failed messages. Consumer that fails 3 times → goes to DLQ → alert.</t>
        </is>
      </c>
      <c r="F4" s="55" t="inlineStr">
        <is>
          <t>RabbitMQ reliability guide (free)</t>
        </is>
      </c>
      <c r="G4" s="55" t="inlineStr">
        <is>
          <t>Order processing with DLQ and alerts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9" t="n">
        <v>106</v>
      </c>
      <c r="B5" s="60" t="inlineStr">
        <is>
          <t>Day 106</t>
        </is>
      </c>
      <c r="C5" s="61" t="inlineStr">
        <is>
          <t>Kafka Architecture</t>
        </is>
      </c>
      <c r="D5" s="57" t="inlineStr">
        <is>
          <t>Topics, partitions, offsets, producers, consumers, consumer groups, brokers, Zookeeper/KRaft</t>
        </is>
      </c>
      <c r="E5" s="57" t="inlineStr">
        <is>
          <t>Set up Kafka locally. Create topic with 3 partitions. Write producer + consumer. Observe partition assignment.</t>
        </is>
      </c>
      <c r="F5" s="57" t="inlineStr">
        <is>
          <t>Confluent free Kafka courses</t>
        </is>
      </c>
      <c r="G5" s="57" t="inlineStr">
        <is>
          <t>Kafka producer/consumer for order events</t>
        </is>
      </c>
      <c r="H5" s="58" t="inlineStr">
        <is>
          <t>⬜ Not Started</t>
        </is>
      </c>
      <c r="I5" s="58" t="inlineStr"/>
      <c r="J5" s="58" t="inlineStr"/>
      <c r="K5" s="57" t="inlineStr">
        <is>
          <t>Kafka is not a queue — it's a distributed log!</t>
        </is>
      </c>
    </row>
    <row r="6" ht="42" customHeight="1">
      <c r="A6" s="62" t="n">
        <v>107</v>
      </c>
      <c r="B6" s="63" t="inlineStr">
        <is>
          <t>Day 107</t>
        </is>
      </c>
      <c r="C6" s="64" t="inlineStr">
        <is>
          <t>Kafka Deep Dive</t>
        </is>
      </c>
      <c r="D6" s="55" t="inlineStr">
        <is>
          <t>Log compaction, retention policies, replication factor, ISR (in-sync replicas), consumer lag, exactly-once semantics</t>
        </is>
      </c>
      <c r="E6" s="55" t="inlineStr">
        <is>
          <t>Simulate broker failure in Kafka. Verify no message loss (replication factor 3). Measure consumer lag.</t>
        </is>
      </c>
      <c r="F6" s="55" t="inlineStr">
        <is>
          <t>Kafka documentation (free)</t>
        </is>
      </c>
      <c r="G6" s="55" t="inlineStr">
        <is>
          <t>Kafka fault tolerance demonstration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108</v>
      </c>
      <c r="B7" s="63" t="inlineStr">
        <is>
          <t>Day 108</t>
        </is>
      </c>
      <c r="C7" s="64" t="inlineStr">
        <is>
          <t>Event-Driven Architecture</t>
        </is>
      </c>
      <c r="D7" s="57" t="inlineStr">
        <is>
          <t>Events vs commands vs queries, choreography vs orchestration, event storming, bounded contexts via events</t>
        </is>
      </c>
      <c r="E7" s="57" t="inlineStr">
        <is>
          <t>Refactor your order service to event-driven: OrderPlaced, PaymentProcessed, OrderShipped events.</t>
        </is>
      </c>
      <c r="F7" s="57" t="inlineStr">
        <is>
          <t>eventmodeling.org (free)</t>
        </is>
      </c>
      <c r="G7" s="57" t="inlineStr">
        <is>
          <t>Event-driven order service with Kafka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62" t="n">
        <v>109</v>
      </c>
      <c r="B8" s="63" t="inlineStr">
        <is>
          <t>Day 109</t>
        </is>
      </c>
      <c r="C8" s="64" t="inlineStr">
        <is>
          <t>Event Sourcing</t>
        </is>
      </c>
      <c r="D8" s="55" t="inlineStr">
        <is>
          <t>Store events not state, event log as source of truth, rebuilding state from events, snapshotting, versioning events</t>
        </is>
      </c>
      <c r="E8" s="55" t="inlineStr">
        <is>
          <t>Implement event sourcing for a bank account: Deposit, Withdraw, Transfer events. Replay to get balance.</t>
        </is>
      </c>
      <c r="F8" s="55" t="inlineStr">
        <is>
          <t>eventstore.com docs (free)</t>
        </is>
      </c>
      <c r="G8" s="55" t="inlineStr">
        <is>
          <t>Event-sourced bank account with snapshots</t>
        </is>
      </c>
      <c r="H8" s="56" t="inlineStr">
        <is>
          <t>⬜ Not Started</t>
        </is>
      </c>
      <c r="I8" s="56" t="inlineStr"/>
      <c r="J8" s="56" t="inlineStr"/>
      <c r="K8" s="55" t="inlineStr">
        <is>
          <t>CQRS + Event Sourcing = powerful SDE2 pattern</t>
        </is>
      </c>
    </row>
    <row r="9" ht="42" customHeight="1">
      <c r="A9" s="62" t="n">
        <v>110</v>
      </c>
      <c r="B9" s="63" t="inlineStr">
        <is>
          <t>Day 110</t>
        </is>
      </c>
      <c r="C9" s="64" t="inlineStr">
        <is>
          <t>Backpressure Handling</t>
        </is>
      </c>
      <c r="D9" s="57" t="inlineStr">
        <is>
          <t>Consumer slower than producer: queue fills up. Strategies: drop, throttle, buffer, reject, circuit break. Reactive Streams.</t>
        </is>
      </c>
      <c r="E9" s="57" t="inlineStr">
        <is>
          <t>Simulate backpressure: fast producer, slow consumer in Kafka. Implement consumer lag monitoring.</t>
        </is>
      </c>
      <c r="F9" s="57" t="inlineStr">
        <is>
          <t>Reactive Streams spec (free)</t>
        </is>
      </c>
      <c r="G9" s="57" t="inlineStr">
        <is>
          <t>Backpressure demo with lag alert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111</v>
      </c>
      <c r="B10" s="63" t="inlineStr">
        <is>
          <t>Day 111</t>
        </is>
      </c>
      <c r="C10" s="64" t="inlineStr">
        <is>
          <t>Stream Processing</t>
        </is>
      </c>
      <c r="D10" s="55" t="inlineStr">
        <is>
          <t>Kafka Streams (stateful/stateless ops, windowing, joins), Apache Flink (event time vs processing time), watermarks</t>
        </is>
      </c>
      <c r="E10" s="55" t="inlineStr">
        <is>
          <t>Kafka Streams: count orders per minute, detect anomalies (&gt;100 orders/min). Use tumbling window.</t>
        </is>
      </c>
      <c r="F10" s="55" t="inlineStr">
        <is>
          <t>Confluent Kafka Streams tutorial (free)</t>
        </is>
      </c>
      <c r="G10" s="55" t="inlineStr">
        <is>
          <t>Real-time order anomaly detection stream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62" t="n">
        <v>112</v>
      </c>
      <c r="B11" s="63" t="inlineStr">
        <is>
          <t>Day 112</t>
        </is>
      </c>
      <c r="C11" s="64" t="inlineStr">
        <is>
          <t>Batch Processing — Spark/Hadoop</t>
        </is>
      </c>
      <c r="D11" s="57" t="inlineStr">
        <is>
          <t>MapReduce pattern, Spark RDD/DataFrame, partitioning, shuffles, batch vs stream tradeoffs, Lambda/Kappa architecture</t>
        </is>
      </c>
      <c r="E11" s="57" t="inlineStr">
        <is>
          <t>Write a Spark job to process 1GB of order logs: compute revenue by region, top products, etc.</t>
        </is>
      </c>
      <c r="F11" s="57" t="inlineStr">
        <is>
          <t>Apache Spark Getting Started (free)</t>
        </is>
      </c>
      <c r="G11" s="57" t="inlineStr">
        <is>
          <t>Order analytics Spark job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9" t="n">
        <v>113</v>
      </c>
      <c r="B12" s="60" t="inlineStr">
        <is>
          <t>Day 113</t>
        </is>
      </c>
      <c r="C12" s="61" t="inlineStr">
        <is>
          <t>Workflow Orchestration</t>
        </is>
      </c>
      <c r="D12" s="55" t="inlineStr">
        <is>
          <t>Apache Airflow (DAG-based), Temporal (code-first workflows), AWS Step Functions, retry semantics, idempotency</t>
        </is>
      </c>
      <c r="E12" s="55" t="inlineStr">
        <is>
          <t>Build an Airflow DAG for: fetch orders → process → send email report → archive. With retries.</t>
        </is>
      </c>
      <c r="F12" s="55" t="inlineStr">
        <is>
          <t>Apache Airflow docs (free)</t>
        </is>
      </c>
      <c r="G12" s="55" t="inlineStr">
        <is>
          <t>Airflow DAG for order processing pipeline</t>
        </is>
      </c>
      <c r="H12" s="56" t="inlineStr">
        <is>
          <t>⬜ Not Started</t>
        </is>
      </c>
      <c r="I12" s="56" t="inlineStr"/>
      <c r="J12" s="56" t="inlineStr"/>
      <c r="K12" s="55" t="inlineStr">
        <is>
          <t>Temporal &gt; Airflow for microservices workflows</t>
        </is>
      </c>
    </row>
    <row r="13" ht="42" customHeight="1">
      <c r="A13" s="59" t="n">
        <v>114</v>
      </c>
      <c r="B13" s="60" t="inlineStr">
        <is>
          <t>Day 114</t>
        </is>
      </c>
      <c r="C13" s="61" t="inlineStr">
        <is>
          <t>Dead Letter Queues + Poison Messages</t>
        </is>
      </c>
      <c r="D13" s="57" t="inlineStr">
        <is>
          <t>Poison message problem, DLQ routing, retry policies, visibility timeout (SQS), manual remediation workflows</t>
        </is>
      </c>
      <c r="E13" s="57" t="inlineStr">
        <is>
          <t>Implement: message fails 3 times → DLQ → Lambda (or function) → Slack notification → dashboard</t>
        </is>
      </c>
      <c r="F13" s="57" t="inlineStr">
        <is>
          <t>AWS SQS DLQ docs (free)</t>
        </is>
      </c>
      <c r="G13" s="57" t="inlineStr">
        <is>
          <t>Complete DLQ pipeline with alerting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62" t="n">
        <v>115</v>
      </c>
      <c r="B14" s="63" t="inlineStr">
        <is>
          <t>Day 115</t>
        </is>
      </c>
      <c r="C14" s="64" t="inlineStr">
        <is>
          <t>Outbox Pattern</t>
        </is>
      </c>
      <c r="D14" s="55" t="inlineStr">
        <is>
          <t>Dual write problem (DB + queue), transactional outbox pattern, Debezium CDC, at-least-once delivery guarantee</t>
        </is>
      </c>
      <c r="E14" s="55" t="inlineStr">
        <is>
          <t>Implement outbox pattern: save order to DB + outbox table atomically. Debezium publishes outbox to Kafka.</t>
        </is>
      </c>
      <c r="F14" s="55" t="inlineStr">
        <is>
          <t>microservices.io outbox pattern (free)</t>
        </is>
      </c>
      <c r="G14" s="55" t="inlineStr">
        <is>
          <t>Outbox pattern for order events</t>
        </is>
      </c>
      <c r="H14" s="56" t="inlineStr">
        <is>
          <t>⬜ Not Started</t>
        </is>
      </c>
      <c r="I14" s="56" t="inlineStr"/>
      <c r="J14" s="56" t="inlineStr"/>
      <c r="K14" s="55" t="inlineStr">
        <is>
          <t>Critical for data consistency in microservices!</t>
        </is>
      </c>
    </row>
    <row r="15" ht="42" customHeight="1">
      <c r="A15" s="62" t="n">
        <v>116</v>
      </c>
      <c r="B15" s="63" t="inlineStr">
        <is>
          <t>Day 116</t>
        </is>
      </c>
      <c r="C15" s="64" t="inlineStr">
        <is>
          <t>Change Data Capture (CDC)</t>
        </is>
      </c>
      <c r="D15" s="57" t="inlineStr">
        <is>
          <t>Debezium connector, binlog/WAL reading, CDC use cases (cache sync, search index, analytics), ordering guarantees</t>
        </is>
      </c>
      <c r="E15" s="57" t="inlineStr">
        <is>
          <t>Set up Debezium to capture PostgreSQL changes → Kafka. Sync to Elasticsearch for search.</t>
        </is>
      </c>
      <c r="F15" s="57" t="inlineStr">
        <is>
          <t>Debezium docs + tutorials (free)</t>
        </is>
      </c>
      <c r="G15" s="57" t="inlineStr">
        <is>
          <t>PostgreSQL → Kafka → Elasticsearch via CDC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59" t="n">
        <v>117</v>
      </c>
      <c r="B16" s="60" t="inlineStr">
        <is>
          <t>Day 117</t>
        </is>
      </c>
      <c r="C16" s="61" t="inlineStr">
        <is>
          <t>Pulsar + AWS Kinesis</t>
        </is>
      </c>
      <c r="D16" s="55" t="inlineStr">
        <is>
          <t>Pulsar vs Kafka differences (geo-replication, multi-tenancy, persistent subscriptions), Kinesis shards vs Kafka partitions</t>
        </is>
      </c>
      <c r="E16" s="55" t="inlineStr">
        <is>
          <t>Compare Pulsar and Kafka: set up both, send 100K messages, compare latency/throughput.</t>
        </is>
      </c>
      <c r="F16" s="55" t="inlineStr">
        <is>
          <t>Apache Pulsar docs (free)</t>
        </is>
      </c>
      <c r="G16" s="55" t="inlineStr">
        <is>
          <t>Kafka vs Pulsar benchmark</t>
        </is>
      </c>
      <c r="H16" s="56" t="inlineStr">
        <is>
          <t>⬜ Not Started</t>
        </is>
      </c>
      <c r="I16" s="56" t="inlineStr"/>
      <c r="J16" s="56" t="inlineStr"/>
      <c r="K16" s="55" t="inlineStr"/>
    </row>
    <row r="17" ht="42" customHeight="1">
      <c r="A17" s="62" t="n">
        <v>118</v>
      </c>
      <c r="B17" s="63" t="inlineStr">
        <is>
          <t>Day 118</t>
        </is>
      </c>
      <c r="C17" s="64" t="inlineStr">
        <is>
          <t>Phase 9 Review + Design: Notification System</t>
        </is>
      </c>
      <c r="D17" s="57" t="inlineStr">
        <is>
          <t>Full async system design: notification service (push, email, SMS, in-app). Kafka-based delivery pipeline.</t>
        </is>
      </c>
      <c r="E17" s="57" t="inlineStr">
        <is>
          <t>Design notification system: 100M notifications/day, prioritization, retry, DLQ, templates, deduplication.</t>
        </is>
      </c>
      <c r="F17" s="57" t="inlineStr">
        <is>
          <t>ByteByteGo notification system design video</t>
        </is>
      </c>
      <c r="G17" s="57" t="inlineStr">
        <is>
          <t>Notification system architecture doc</t>
        </is>
      </c>
      <c r="H17" s="58" t="inlineStr">
        <is>
          <t>⬜ Not Started</t>
        </is>
      </c>
      <c r="I17" s="58" t="inlineStr"/>
      <c r="J17" s="58" t="inlineStr"/>
      <c r="K17" s="57" t="inlineStr"/>
    </row>
    <row r="18" ht="24" customHeight="1">
      <c r="A18" s="12" t="inlineStr">
        <is>
          <t>📊 PHASE SUMMARY</t>
        </is>
      </c>
      <c r="H18" s="65">
        <f>COUNTIF(H4:H17,"✅ Completed")&amp;" / 14 done"</f>
        <v/>
      </c>
      <c r="I18" s="66">
        <f>IFERROR(AVERAGE(I4:I17),"–")</f>
        <v/>
      </c>
      <c r="J18" s="67">
        <f>SUM(J4:J17)</f>
        <v/>
      </c>
    </row>
  </sheetData>
  <mergeCells count="3">
    <mergeCell ref="A2:K2"/>
    <mergeCell ref="A1:K1"/>
    <mergeCell ref="A18:G18"/>
  </mergeCells>
  <dataValidations count="2">
    <dataValidation sqref="H4 H5 H6 H7 H8 H9 H10 H11 H12 H13 H14 H15 H16 H17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84" t="inlineStr">
        <is>
          <t>Phase 10: Architecture Patterns  |  Month 3 (Days 119–132)</t>
        </is>
      </c>
    </row>
    <row r="2" ht="20" customHeight="1">
      <c r="A2" s="85" t="inlineStr">
        <is>
          <t>📝 Update STATUS column daily. Use: ⬜ Not Started | 🔵 In Progress | ✅ Completed | 🔄 Revisit | ⭐ Mastered</t>
        </is>
      </c>
    </row>
    <row r="3" ht="32" customHeight="1">
      <c r="A3" s="86" t="inlineStr">
        <is>
          <t>Day</t>
        </is>
      </c>
      <c r="B3" s="86" t="inlineStr">
        <is>
          <t>Date</t>
        </is>
      </c>
      <c r="C3" s="86" t="inlineStr">
        <is>
          <t>Topic</t>
        </is>
      </c>
      <c r="D3" s="86" t="inlineStr">
        <is>
          <t>Subtopics / Concepts</t>
        </is>
      </c>
      <c r="E3" s="86" t="inlineStr">
        <is>
          <t>Daily Task / Exercise</t>
        </is>
      </c>
      <c r="F3" s="86" t="inlineStr">
        <is>
          <t>Resource</t>
        </is>
      </c>
      <c r="G3" s="86" t="inlineStr">
        <is>
          <t>Mini Project / Output</t>
        </is>
      </c>
      <c r="H3" s="86" t="inlineStr">
        <is>
          <t>Status</t>
        </is>
      </c>
      <c r="I3" s="86" t="inlineStr">
        <is>
          <t>Confidence
(1–5)</t>
        </is>
      </c>
      <c r="J3" s="86" t="inlineStr">
        <is>
          <t>Time
Spent (hr)</t>
        </is>
      </c>
      <c r="K3" s="86" t="inlineStr">
        <is>
          <t>Notes / Blockers</t>
        </is>
      </c>
    </row>
    <row r="4" ht="42" customHeight="1">
      <c r="A4" s="52" t="n">
        <v>119</v>
      </c>
      <c r="B4" s="53" t="inlineStr">
        <is>
          <t>Day 119</t>
        </is>
      </c>
      <c r="C4" s="54" t="inlineStr">
        <is>
          <t>Monolith vs Microservices</t>
        </is>
      </c>
      <c r="D4" s="55" t="inlineStr">
        <is>
          <t>Monolith (single deployable, shared DB), microservices (independent deployment, own DB). When each is right.</t>
        </is>
      </c>
      <c r="E4" s="55" t="inlineStr">
        <is>
          <t>List 5 pros and 5 cons of each. Why did Stack Overflow stay monolith but Netflix went micro?</t>
        </is>
      </c>
      <c r="F4" s="55" t="inlineStr">
        <is>
          <t>Sam Newman 'Building Microservices' Ch.1 (free preview)</t>
        </is>
      </c>
      <c r="G4" s="55" t="inlineStr">
        <is>
          <t>Decision matrix: monolith vs microservices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62" t="n">
        <v>120</v>
      </c>
      <c r="B5" s="63" t="inlineStr">
        <is>
          <t>Day 120</t>
        </is>
      </c>
      <c r="C5" s="64" t="inlineStr">
        <is>
          <t>Microservices Patterns</t>
        </is>
      </c>
      <c r="D5" s="57" t="inlineStr">
        <is>
          <t>Service per domain, DB per service, API composition, saga, event-driven comms, service mesh, data sovereignty</t>
        </is>
      </c>
      <c r="E5" s="57" t="inlineStr">
        <is>
          <t>Split your e-commerce monolith into 4 microservices (users, products, orders, payments). Define boundaries.</t>
        </is>
      </c>
      <c r="F5" s="57" t="inlineStr">
        <is>
          <t>microservices.io patterns catalog (free)</t>
        </is>
      </c>
      <c r="G5" s="57" t="inlineStr">
        <is>
          <t>E-commerce microservices architecture diagram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62" t="n">
        <v>121</v>
      </c>
      <c r="B6" s="63" t="inlineStr">
        <is>
          <t>Day 121</t>
        </is>
      </c>
      <c r="C6" s="64" t="inlineStr">
        <is>
          <t>Domain-Driven Design (DDD)</t>
        </is>
      </c>
      <c r="D6" s="55" t="inlineStr">
        <is>
          <t>Bounded contexts, aggregates, entities, value objects, domain events, ubiquitous language, strategic vs tactical DDD</t>
        </is>
      </c>
      <c r="E6" s="55" t="inlineStr">
        <is>
          <t>Apply DDD to your e-commerce: identify bounded contexts, define aggregates (Order, Product, User).</t>
        </is>
      </c>
      <c r="F6" s="55" t="inlineStr">
        <is>
          <t>Vaughn Vernon 'IDDD' summary articles (free)</t>
        </is>
      </c>
      <c r="G6" s="55" t="inlineStr">
        <is>
          <t>DDD bounded context map for e-commerce</t>
        </is>
      </c>
      <c r="H6" s="56" t="inlineStr">
        <is>
          <t>⬜ Not Started</t>
        </is>
      </c>
      <c r="I6" s="56" t="inlineStr"/>
      <c r="J6" s="56" t="inlineStr"/>
      <c r="K6" s="55" t="inlineStr">
        <is>
          <t>SDE2 extra: DDD is architecture interview gold</t>
        </is>
      </c>
    </row>
    <row r="7" ht="42" customHeight="1">
      <c r="A7" s="62" t="n">
        <v>122</v>
      </c>
      <c r="B7" s="63" t="inlineStr">
        <is>
          <t>Day 122</t>
        </is>
      </c>
      <c r="C7" s="64" t="inlineStr">
        <is>
          <t>Saga Pattern Deep Dive</t>
        </is>
      </c>
      <c r="D7" s="57" t="inlineStr">
        <is>
          <t>Choreography (events, no central coordinator) vs orchestration (central saga orchestrator). Rollback via compensation.</t>
        </is>
      </c>
      <c r="E7" s="57" t="inlineStr">
        <is>
          <t>Implement order saga: orchestration style with Temporal. Handle payment failure → rollback inventory.</t>
        </is>
      </c>
      <c r="F7" s="57" t="inlineStr">
        <is>
          <t>Temporal workflow docs (free)</t>
        </is>
      </c>
      <c r="G7" s="57" t="inlineStr">
        <is>
          <t>Order saga with Temporal orchestration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9" t="n">
        <v>123</v>
      </c>
      <c r="B8" s="60" t="inlineStr">
        <is>
          <t>Day 123</t>
        </is>
      </c>
      <c r="C8" s="61" t="inlineStr">
        <is>
          <t>Strangler Fig Pattern</t>
        </is>
      </c>
      <c r="D8" s="55" t="inlineStr">
        <is>
          <t>Migrating monolith to microservices incrementally. Facade pattern. Feature flags for cutover. Traffic splitting.</t>
        </is>
      </c>
      <c r="E8" s="55" t="inlineStr">
        <is>
          <t>Extract 'user authentication' from monolith. Route /auth/* to new service. Keep rest in monolith.</t>
        </is>
      </c>
      <c r="F8" s="55" t="inlineStr">
        <is>
          <t>Martin Fowler Strangler Fig article (free)</t>
        </is>
      </c>
      <c r="G8" s="55" t="inlineStr">
        <is>
          <t>Auth service extracted with proxy routing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124</v>
      </c>
      <c r="B9" s="60" t="inlineStr">
        <is>
          <t>Day 124</t>
        </is>
      </c>
      <c r="C9" s="61" t="inlineStr">
        <is>
          <t>API Gateway + BFF Pattern</t>
        </is>
      </c>
      <c r="D9" s="57" t="inlineStr">
        <is>
          <t>API gateway responsibilities (auth, rate limit, routing, transform), BFF for mobile vs web vs third-party clients</t>
        </is>
      </c>
      <c r="E9" s="57" t="inlineStr">
        <is>
          <t>Set up Kong API gateway. Configure routes, rate limiting, auth plugin. Build separate BFF for mobile.</t>
        </is>
      </c>
      <c r="F9" s="57" t="inlineStr">
        <is>
          <t>Kong docs (free)</t>
        </is>
      </c>
      <c r="G9" s="57" t="inlineStr">
        <is>
          <t>Kong gateway with mobile BFF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59" t="n">
        <v>125</v>
      </c>
      <c r="B10" s="60" t="inlineStr">
        <is>
          <t>Day 125</t>
        </is>
      </c>
      <c r="C10" s="61" t="inlineStr">
        <is>
          <t>Serverless + FaaS</t>
        </is>
      </c>
      <c r="D10" s="55" t="inlineStr">
        <is>
          <t>Lambda cold start, execution model, event triggers, serverless state problem, cost model, when to avoid serverless</t>
        </is>
      </c>
      <c r="E10" s="55" t="inlineStr">
        <is>
          <t>Deploy 3 Lambda functions: HTTP handler, S3 trigger, SQS trigger. Measure cold start latency.</t>
        </is>
      </c>
      <c r="F10" s="55" t="inlineStr">
        <is>
          <t>AWS Lambda docs (free tier)</t>
        </is>
      </c>
      <c r="G10" s="55" t="inlineStr">
        <is>
          <t>Serverless order processing pipeline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62" t="n">
        <v>126</v>
      </c>
      <c r="B11" s="63" t="inlineStr">
        <is>
          <t>Day 126</t>
        </is>
      </c>
      <c r="C11" s="64" t="inlineStr">
        <is>
          <t>Service Mesh — Istio/Linkerd</t>
        </is>
      </c>
      <c r="D11" s="57" t="inlineStr">
        <is>
          <t>Sidecar proxy (Envoy), mTLS between services, traffic management (canary, A/B), observability (built-in tracing)</t>
        </is>
      </c>
      <c r="E11" s="57" t="inlineStr">
        <is>
          <t>Deploy Istio on local k3s cluster. Route 10% traffic to v2 of a service. Enable mTLS.</t>
        </is>
      </c>
      <c r="F11" s="57" t="inlineStr">
        <is>
          <t>Istio getting started (free)</t>
        </is>
      </c>
      <c r="G11" s="57" t="inlineStr">
        <is>
          <t>Istio canary deployment demo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9" t="n">
        <v>127</v>
      </c>
      <c r="B12" s="60" t="inlineStr">
        <is>
          <t>Day 127</t>
        </is>
      </c>
      <c r="C12" s="61" t="inlineStr">
        <is>
          <t>Hexagonal Architecture</t>
        </is>
      </c>
      <c r="D12" s="55" t="inlineStr">
        <is>
          <t>Ports and adapters, dependency inversion, core domain insulated from infra, testing benefits</t>
        </is>
      </c>
      <c r="E12" s="55" t="inlineStr">
        <is>
          <t>Refactor one microservice to hexagonal architecture. Core business logic has zero infra imports.</t>
        </is>
      </c>
      <c r="F12" s="55" t="inlineStr">
        <is>
          <t>Alistair Cockburn hexagonal arch article (free)</t>
        </is>
      </c>
      <c r="G12" s="55" t="inlineStr">
        <is>
          <t>Hexagonal order service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62" t="n">
        <v>128</v>
      </c>
      <c r="B13" s="63" t="inlineStr">
        <is>
          <t>Day 128</t>
        </is>
      </c>
      <c r="C13" s="64" t="inlineStr">
        <is>
          <t>Outbox + CDC + Transactional Patterns</t>
        </is>
      </c>
      <c r="D13" s="57" t="inlineStr">
        <is>
          <t>Outbox pattern revisit, idempotent consumers, exactly-once processing, processing order guarantees</t>
        </is>
      </c>
      <c r="E13" s="57" t="inlineStr">
        <is>
          <t>Build end-to-end: Order API → DB + Outbox (atomic) → Debezium → Kafka → Email service.</t>
        </is>
      </c>
      <c r="F13" s="57" t="inlineStr">
        <is>
          <t>Gunnar Morling outbox blog (free)</t>
        </is>
      </c>
      <c r="G13" s="57" t="inlineStr">
        <is>
          <t>End-to-end transactional outbox pipeline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59" t="n">
        <v>129</v>
      </c>
      <c r="B14" s="60" t="inlineStr">
        <is>
          <t>Day 129</t>
        </is>
      </c>
      <c r="C14" s="61" t="inlineStr">
        <is>
          <t>Modular Monolith</t>
        </is>
      </c>
      <c r="D14" s="55" t="inlineStr">
        <is>
          <t>Structured monolith with module boundaries enforced, package-by-feature vs package-by-layer, internal API boundaries</t>
        </is>
      </c>
      <c r="E14" s="55" t="inlineStr">
        <is>
          <t>Restructure your e-commerce monolith into modules with enforced boundaries (no cross-module imports).</t>
        </is>
      </c>
      <c r="F14" s="55" t="inlineStr">
        <is>
          <t>Sam Newman 'Monolith to Microservices' Ch.1 (free preview)</t>
        </is>
      </c>
      <c r="G14" s="55" t="inlineStr">
        <is>
          <t>Modular monolith refactor</t>
        </is>
      </c>
      <c r="H14" s="56" t="inlineStr">
        <is>
          <t>⬜ Not Started</t>
        </is>
      </c>
      <c r="I14" s="56" t="inlineStr"/>
      <c r="J14" s="56" t="inlineStr"/>
      <c r="K14" s="55" t="inlineStr">
        <is>
          <t>Often better than full microservices for small teams</t>
        </is>
      </c>
    </row>
    <row r="15" ht="42" customHeight="1">
      <c r="A15" s="59" t="n">
        <v>130</v>
      </c>
      <c r="B15" s="60" t="inlineStr">
        <is>
          <t>Day 130</t>
        </is>
      </c>
      <c r="C15" s="61" t="inlineStr">
        <is>
          <t>SOA vs Microservices</t>
        </is>
      </c>
      <c r="D15" s="57" t="inlineStr">
        <is>
          <t>SOA (shared middleware ESB, larger services), microservices (dumb pipes, smart endpoints, fine-grained), evolution</t>
        </is>
      </c>
      <c r="E15" s="57" t="inlineStr">
        <is>
          <t>Compare: implement order processing as SOA (with ESB) vs microservices (Kafka). Document tradeoffs.</t>
        </is>
      </c>
      <c r="F15" s="57" t="inlineStr">
        <is>
          <t>Martin Fowler SOA article (free)</t>
        </is>
      </c>
      <c r="G15" s="57" t="inlineStr">
        <is>
          <t>SOA vs microservices comparison doc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62" t="n">
        <v>131</v>
      </c>
      <c r="B16" s="63" t="inlineStr">
        <is>
          <t>Day 131</t>
        </is>
      </c>
      <c r="C16" s="64" t="inlineStr">
        <is>
          <t>SDE2 Architecture Interview Practice</t>
        </is>
      </c>
      <c r="D16" s="55" t="inlineStr">
        <is>
          <t>Full system design: WhatsApp (messaging, presence, read receipts, media). 45-minute time-boxed.</t>
        </is>
      </c>
      <c r="E16" s="55" t="inlineStr">
        <is>
          <t>Design WhatsApp: 2B users, message delivery, online status, group chats, media upload. All layers.</t>
        </is>
      </c>
      <c r="F16" s="55" t="inlineStr">
        <is>
          <t>ByteByteGo 'Design WhatsApp' (free sample)</t>
        </is>
      </c>
      <c r="G16" s="55" t="inlineStr">
        <is>
          <t>WhatsApp system design doc</t>
        </is>
      </c>
      <c r="H16" s="56" t="inlineStr">
        <is>
          <t>⬜ Not Started</t>
        </is>
      </c>
      <c r="I16" s="56" t="inlineStr"/>
      <c r="J16" s="56" t="inlineStr"/>
      <c r="K16" s="55" t="inlineStr"/>
    </row>
    <row r="17" ht="42" customHeight="1">
      <c r="A17" s="59" t="n">
        <v>132</v>
      </c>
      <c r="B17" s="60" t="inlineStr">
        <is>
          <t>Day 132</t>
        </is>
      </c>
      <c r="C17" s="61" t="inlineStr">
        <is>
          <t>Phase 10 Review + Architecture Decision Records</t>
        </is>
      </c>
      <c r="D17" s="57" t="inlineStr">
        <is>
          <t>ADR format (context, decision, consequences). Write ADRs for key decisions in your e-commerce project.</t>
        </is>
      </c>
      <c r="E17" s="57" t="inlineStr">
        <is>
          <t>Write 5 ADRs for your e-commerce project decisions. Review all Phase 8-10 concepts.</t>
        </is>
      </c>
      <c r="F17" s="57" t="inlineStr">
        <is>
          <t>adr.github.io (free)</t>
        </is>
      </c>
      <c r="G17" s="57" t="inlineStr">
        <is>
          <t>5 ADRs for e-commerce architecture</t>
        </is>
      </c>
      <c r="H17" s="58" t="inlineStr">
        <is>
          <t>⬜ Not Started</t>
        </is>
      </c>
      <c r="I17" s="58" t="inlineStr"/>
      <c r="J17" s="58" t="inlineStr"/>
      <c r="K17" s="57" t="inlineStr"/>
    </row>
    <row r="18" ht="24" customHeight="1">
      <c r="A18" s="15" t="inlineStr">
        <is>
          <t>📊 PHASE SUMMARY</t>
        </is>
      </c>
      <c r="H18" s="65">
        <f>COUNTIF(H4:H17,"✅ Completed")&amp;" / 14 done"</f>
        <v/>
      </c>
      <c r="I18" s="66">
        <f>IFERROR(AVERAGE(I4:I17),"–")</f>
        <v/>
      </c>
      <c r="J18" s="67">
        <f>SUM(J4:J17)</f>
        <v/>
      </c>
    </row>
  </sheetData>
  <mergeCells count="3">
    <mergeCell ref="A2:K2"/>
    <mergeCell ref="A1:K1"/>
    <mergeCell ref="A18:G18"/>
  </mergeCells>
  <dataValidations count="2">
    <dataValidation sqref="H4 H5 H6 H7 H8 H9 H10 H11 H12 H13 H14 H15 H16 H17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87" t="inlineStr">
        <is>
          <t>Phase 11: Reliability &amp; Fault Tolerance  |  Month 4 (Days 133–142)</t>
        </is>
      </c>
    </row>
    <row r="2" ht="20" customHeight="1">
      <c r="A2" s="88" t="inlineStr">
        <is>
          <t>📝 Update STATUS column daily. Use: ⬜ Not Started | 🔵 In Progress | ✅ Completed | 🔄 Revisit | ⭐ Mastered</t>
        </is>
      </c>
    </row>
    <row r="3" ht="32" customHeight="1">
      <c r="A3" s="89" t="inlineStr">
        <is>
          <t>Day</t>
        </is>
      </c>
      <c r="B3" s="89" t="inlineStr">
        <is>
          <t>Date</t>
        </is>
      </c>
      <c r="C3" s="89" t="inlineStr">
        <is>
          <t>Topic</t>
        </is>
      </c>
      <c r="D3" s="89" t="inlineStr">
        <is>
          <t>Subtopics / Concepts</t>
        </is>
      </c>
      <c r="E3" s="89" t="inlineStr">
        <is>
          <t>Daily Task / Exercise</t>
        </is>
      </c>
      <c r="F3" s="89" t="inlineStr">
        <is>
          <t>Resource</t>
        </is>
      </c>
      <c r="G3" s="89" t="inlineStr">
        <is>
          <t>Mini Project / Output</t>
        </is>
      </c>
      <c r="H3" s="89" t="inlineStr">
        <is>
          <t>Status</t>
        </is>
      </c>
      <c r="I3" s="89" t="inlineStr">
        <is>
          <t>Confidence
(1–5)</t>
        </is>
      </c>
      <c r="J3" s="89" t="inlineStr">
        <is>
          <t>Time
Spent (hr)</t>
        </is>
      </c>
      <c r="K3" s="89" t="inlineStr">
        <is>
          <t>Notes / Blockers</t>
        </is>
      </c>
    </row>
    <row r="4" ht="42" customHeight="1">
      <c r="A4" s="52" t="n">
        <v>133</v>
      </c>
      <c r="B4" s="53" t="inlineStr">
        <is>
          <t>Day 133</t>
        </is>
      </c>
      <c r="C4" s="54" t="inlineStr">
        <is>
          <t>High Availability + Redundancy</t>
        </is>
      </c>
      <c r="D4" s="55" t="inlineStr">
        <is>
          <t>5-nines (99.999%), 4-nines (99.99%), downtime math. Active-passive vs active-active. N+1 redundancy.</t>
        </is>
      </c>
      <c r="E4" s="55" t="inlineStr">
        <is>
          <t>Calculate: how many minutes of downtime per year for 99.9%, 99.99%, 99.999%? Design active-active setup.</t>
        </is>
      </c>
      <c r="F4" s="55" t="inlineStr">
        <is>
          <t>Google SRE Book Ch.1 (free at sre.google)</t>
        </is>
      </c>
      <c r="G4" s="55" t="inlineStr">
        <is>
          <t>HA architecture for your order service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9" t="n">
        <v>134</v>
      </c>
      <c r="B5" s="60" t="inlineStr">
        <is>
          <t>Day 134</t>
        </is>
      </c>
      <c r="C5" s="61" t="inlineStr">
        <is>
          <t>Circuit Breakers</t>
        </is>
      </c>
      <c r="D5" s="57" t="inlineStr">
        <is>
          <t>Closed/Open/Half-Open states, failure threshold, timeout, Hystrix, Resilience4j, fallback responses</t>
        </is>
      </c>
      <c r="E5" s="57" t="inlineStr">
        <is>
          <t>Implement circuit breaker with Resilience4j or a custom implementation. Test with a failing downstream.</t>
        </is>
      </c>
      <c r="F5" s="57" t="inlineStr">
        <is>
          <t>Martin Fowler Circuit Breaker article (free)</t>
        </is>
      </c>
      <c r="G5" s="57" t="inlineStr">
        <is>
          <t>Circuit breaker for payment service calls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59" t="n">
        <v>135</v>
      </c>
      <c r="B6" s="60" t="inlineStr">
        <is>
          <t>Day 135</t>
        </is>
      </c>
      <c r="C6" s="61" t="inlineStr">
        <is>
          <t>Retries + Exponential Backoff + Jitter</t>
        </is>
      </c>
      <c r="D6" s="55" t="inlineStr">
        <is>
          <t>Retry storm (why naive retry is dangerous), exponential backoff, jitter (full, equal, decorrelated), max retries</t>
        </is>
      </c>
      <c r="E6" s="55" t="inlineStr">
        <is>
          <t>Implement retry with exponential backoff + jitter. Simulate thundering herd without jitter vs with jitter.</t>
        </is>
      </c>
      <c r="F6" s="55" t="inlineStr">
        <is>
          <t>AWS 'Exponential Backoff and Jitter' blog (free)</t>
        </is>
      </c>
      <c r="G6" s="55" t="inlineStr">
        <is>
          <t>Retry library with configurable backoff</t>
        </is>
      </c>
      <c r="H6" s="56" t="inlineStr">
        <is>
          <t>⬜ Not Started</t>
        </is>
      </c>
      <c r="I6" s="56" t="inlineStr"/>
      <c r="J6" s="56" t="inlineStr"/>
      <c r="K6" s="55" t="inlineStr">
        <is>
          <t>No jitter = thundering herd = makes outages worse!</t>
        </is>
      </c>
    </row>
    <row r="7" ht="42" customHeight="1">
      <c r="A7" s="59" t="n">
        <v>136</v>
      </c>
      <c r="B7" s="60" t="inlineStr">
        <is>
          <t>Day 136</t>
        </is>
      </c>
      <c r="C7" s="61" t="inlineStr">
        <is>
          <t>Idempotency Keys</t>
        </is>
      </c>
      <c r="D7" s="57" t="inlineStr">
        <is>
          <t>Why idempotency matters in distributed systems, Stripe idempotency key pattern, Redis-based deduplication, DB unique constraint</t>
        </is>
      </c>
      <c r="E7" s="57" t="inlineStr">
        <is>
          <t>Add idempotency keys to your payment API. Test: same key 3 times = 1 charge, 3 identical responses.</t>
        </is>
      </c>
      <c r="F7" s="57" t="inlineStr">
        <is>
          <t>Stripe idempotency docs (free)</t>
        </is>
      </c>
      <c r="G7" s="57" t="inlineStr">
        <is>
          <t>Fully idempotent payment endpoint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9" t="n">
        <v>137</v>
      </c>
      <c r="B8" s="60" t="inlineStr">
        <is>
          <t>Day 137</t>
        </is>
      </c>
      <c r="C8" s="61" t="inlineStr">
        <is>
          <t>Bulkhead Pattern</t>
        </is>
      </c>
      <c r="D8" s="55" t="inlineStr">
        <is>
          <t>Isolate failures between services. Thread pool isolation, semaphore isolation. Prevent cascade failures.</t>
        </is>
      </c>
      <c r="E8" s="55" t="inlineStr">
        <is>
          <t>Implement bulkheads: separate thread pools for payment vs inventory calls. One fails, other unaffected.</t>
        </is>
      </c>
      <c r="F8" s="55" t="inlineStr">
        <is>
          <t>Resilience4j bulkhead docs (free)</t>
        </is>
      </c>
      <c r="G8" s="55" t="inlineStr">
        <is>
          <t>Bulkhead isolation demo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138</v>
      </c>
      <c r="B9" s="60" t="inlineStr">
        <is>
          <t>Day 138</t>
        </is>
      </c>
      <c r="C9" s="61" t="inlineStr">
        <is>
          <t>Disaster Recovery — RPO + RTO</t>
        </is>
      </c>
      <c r="D9" s="57" t="inlineStr">
        <is>
          <t>RPO (how much data loss is OK), RTO (how fast must we recover), backup strategies, cross-region replication</t>
        </is>
      </c>
      <c r="E9" s="57" t="inlineStr">
        <is>
          <t>Design DR plan for your e-commerce: RPO = 1 min, RTO = 5 min. What infrastructure needed?</t>
        </is>
      </c>
      <c r="F9" s="57" t="inlineStr">
        <is>
          <t>AWS DR whitepaper (free)</t>
        </is>
      </c>
      <c r="G9" s="57" t="inlineStr">
        <is>
          <t>DR plan document with RPO/RTO targets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59" t="n">
        <v>139</v>
      </c>
      <c r="B10" s="60" t="inlineStr">
        <is>
          <t>Day 139</t>
        </is>
      </c>
      <c r="C10" s="61" t="inlineStr">
        <is>
          <t>Chaos Engineering</t>
        </is>
      </c>
      <c r="D10" s="55" t="inlineStr">
        <is>
          <t>Chaos Monkey, Gremlin, principles of chaos, game days, failure injection, steady-state hypothesis</t>
        </is>
      </c>
      <c r="E10" s="55" t="inlineStr">
        <is>
          <t>Run chaos experiment: kill one of your 3 API instances. Verify LB still routes correctly. Document findings.</t>
        </is>
      </c>
      <c r="F10" s="55" t="inlineStr">
        <is>
          <t>Principles of Chaos Engineering (free at principlesofchaos.org)</t>
        </is>
      </c>
      <c r="G10" s="55" t="inlineStr">
        <is>
          <t>Chaos experiment report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59" t="n">
        <v>140</v>
      </c>
      <c r="B11" s="60" t="inlineStr">
        <is>
          <t>Day 140</t>
        </is>
      </c>
      <c r="C11" s="61" t="inlineStr">
        <is>
          <t>Blue-Green + Canary Deployments</t>
        </is>
      </c>
      <c r="D11" s="57" t="inlineStr">
        <is>
          <t>Blue-green (instant cutover), canary (gradual traffic shift), feature flags, rollback strategy</t>
        </is>
      </c>
      <c r="E11" s="57" t="inlineStr">
        <is>
          <t>Implement blue-green deployment with Nginx (switch upstream). Then canary: 10% → 50% → 100%.</t>
        </is>
      </c>
      <c r="F11" s="57" t="inlineStr">
        <is>
          <t>Martin Fowler 'Blue-Green Deployment' article (free)</t>
        </is>
      </c>
      <c r="G11" s="57" t="inlineStr">
        <is>
          <t>Blue-green + canary deployment scripts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62" t="n">
        <v>141</v>
      </c>
      <c r="B12" s="63" t="inlineStr">
        <is>
          <t>Day 141</t>
        </is>
      </c>
      <c r="C12" s="64" t="inlineStr">
        <is>
          <t>Graceful Degradation</t>
        </is>
      </c>
      <c r="D12" s="55" t="inlineStr">
        <is>
          <t>Feature toggles, fallback responses (cache, default), degraded mode (read-only), health endpoint design</t>
        </is>
      </c>
      <c r="E12" s="55" t="inlineStr">
        <is>
          <t>Implement graceful degradation in your API: if Redis is down, fall back to DB. If DB is down, serve cache.</t>
        </is>
      </c>
      <c r="F12" s="55" t="inlineStr">
        <is>
          <t>AWS Well-Architected Reliability pillar (free)</t>
        </is>
      </c>
      <c r="G12" s="55" t="inlineStr">
        <is>
          <t>Multi-layer fallback implementation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59" t="n">
        <v>142</v>
      </c>
      <c r="B13" s="60" t="inlineStr">
        <is>
          <t>Day 142</t>
        </is>
      </c>
      <c r="C13" s="61" t="inlineStr">
        <is>
          <t>Phase 11 Review + SRE Practices</t>
        </is>
      </c>
      <c r="D13" s="57" t="inlineStr">
        <is>
          <t>Review reliability patterns. Error budgets, toil reduction, on-call rotations, postmortems.</t>
        </is>
      </c>
      <c r="E13" s="57" t="inlineStr">
        <is>
          <t>Write a postmortem for an imagined outage (DB primary failure). Include timeline, root cause, action items.</t>
        </is>
      </c>
      <c r="F13" s="57" t="inlineStr">
        <is>
          <t>Google SRE Book Ch.14–15 (free at sre.google)</t>
        </is>
      </c>
      <c r="G13" s="57" t="inlineStr">
        <is>
          <t>Mock postmortem document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24" customHeight="1">
      <c r="A14" s="90" t="inlineStr">
        <is>
          <t>📊 PHASE SUMMARY</t>
        </is>
      </c>
      <c r="H14" s="65">
        <f>COUNTIF(H4:H13,"✅ Completed")&amp;" / 10 done"</f>
        <v/>
      </c>
      <c r="I14" s="66">
        <f>IFERROR(AVERAGE(I4:I13),"–")</f>
        <v/>
      </c>
      <c r="J14" s="67">
        <f>SUM(J4:J13)</f>
        <v/>
      </c>
    </row>
  </sheetData>
  <mergeCells count="3">
    <mergeCell ref="A2:K2"/>
    <mergeCell ref="A14:G14"/>
    <mergeCell ref="A1:K1"/>
  </mergeCells>
  <dataValidations count="2">
    <dataValidation sqref="H4 H5 H6 H7 H8 H9 H10 H11 H12 H13" showDropDown="0" showInputMessage="0" showErrorMessage="0" allowBlank="1" type="list">
      <formula1>"⬜ Not Started,🔵 In Progress,✅ Completed,🔄 Revisit,⭐ Mastered"</formula1>
    </dataValidation>
    <dataValidation sqref="I4 I5 I6 I7 I8 I9 I10 I11 I12 I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8" t="inlineStr">
        <is>
          <t>Phase 12: Performance &amp; Optimization  |  Month 4 (Days 143–149)</t>
        </is>
      </c>
    </row>
    <row r="2" ht="20" customHeight="1">
      <c r="A2" s="79" t="inlineStr">
        <is>
          <t>📝 Update STATUS column daily. Use: ⬜ Not Started | 🔵 In Progress | ✅ Completed | 🔄 Revisit | ⭐ Mastered</t>
        </is>
      </c>
    </row>
    <row r="3" ht="32" customHeight="1">
      <c r="A3" s="80" t="inlineStr">
        <is>
          <t>Day</t>
        </is>
      </c>
      <c r="B3" s="80" t="inlineStr">
        <is>
          <t>Date</t>
        </is>
      </c>
      <c r="C3" s="80" t="inlineStr">
        <is>
          <t>Topic</t>
        </is>
      </c>
      <c r="D3" s="80" t="inlineStr">
        <is>
          <t>Subtopics / Concepts</t>
        </is>
      </c>
      <c r="E3" s="80" t="inlineStr">
        <is>
          <t>Daily Task / Exercise</t>
        </is>
      </c>
      <c r="F3" s="80" t="inlineStr">
        <is>
          <t>Resource</t>
        </is>
      </c>
      <c r="G3" s="80" t="inlineStr">
        <is>
          <t>Mini Project / Output</t>
        </is>
      </c>
      <c r="H3" s="80" t="inlineStr">
        <is>
          <t>Status</t>
        </is>
      </c>
      <c r="I3" s="80" t="inlineStr">
        <is>
          <t>Confidence
(1–5)</t>
        </is>
      </c>
      <c r="J3" s="80" t="inlineStr">
        <is>
          <t>Time
Spent (hr)</t>
        </is>
      </c>
      <c r="K3" s="80" t="inlineStr">
        <is>
          <t>Notes / Blockers</t>
        </is>
      </c>
    </row>
    <row r="4" ht="42" customHeight="1">
      <c r="A4" s="59" t="n">
        <v>143</v>
      </c>
      <c r="B4" s="60" t="inlineStr">
        <is>
          <t>Day 143</t>
        </is>
      </c>
      <c r="C4" s="61" t="inlineStr">
        <is>
          <t>Latency vs Throughput</t>
        </is>
      </c>
      <c r="D4" s="55" t="inlineStr">
        <is>
          <t>Latency (time for one request), throughput (requests per second), Little's Law, tail latency causes</t>
        </is>
      </c>
      <c r="E4" s="55" t="inlineStr">
        <is>
          <t>Benchmark your API: measure P50, P95, P99 latency with k6 or wrk. Find the throughput knee.</t>
        </is>
      </c>
      <c r="F4" s="55" t="inlineStr">
        <is>
          <t>k6 docs (free) + Gil Tene 'How NOT to Measure Latency' talk</t>
        </is>
      </c>
      <c r="G4" s="55" t="inlineStr">
        <is>
          <t>Latency benchmarking report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62" t="n">
        <v>144</v>
      </c>
      <c r="B5" s="63" t="inlineStr">
        <is>
          <t>Day 144</t>
        </is>
      </c>
      <c r="C5" s="64" t="inlineStr">
        <is>
          <t>Profiling — CPU + Memory</t>
        </is>
      </c>
      <c r="D5" s="57" t="inlineStr">
        <is>
          <t>CPU profiling (flame graphs), memory profiling (heap dumps), async profiler, py-spy, JVM profiling tools</t>
        </is>
      </c>
      <c r="E5" s="57" t="inlineStr">
        <is>
          <t>Profile your API under load. Generate a flame graph. Find the top CPU consumer. Fix it.</t>
        </is>
      </c>
      <c r="F5" s="57" t="inlineStr">
        <is>
          <t>Brendan Gregg flamegraph repo (free)</t>
        </is>
      </c>
      <c r="G5" s="57" t="inlineStr">
        <is>
          <t>Flame graph analysis with optimization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59" t="n">
        <v>145</v>
      </c>
      <c r="B6" s="60" t="inlineStr">
        <is>
          <t>Day 145</t>
        </is>
      </c>
      <c r="C6" s="61" t="inlineStr">
        <is>
          <t>Compression + Serialization</t>
        </is>
      </c>
      <c r="D6" s="55" t="inlineStr">
        <is>
          <t>gzip vs brotli vs zstd speed/ratio tradeoffs, JSON vs Protobuf vs MessagePack, HTTP compression headers</t>
        </is>
      </c>
      <c r="E6" s="55" t="inlineStr">
        <is>
          <t>Compare: JSON vs Protobuf for 1M records. Measure size and serialize/deserialize time.</t>
        </is>
      </c>
      <c r="F6" s="55" t="inlineStr">
        <is>
          <t>Benchmarks in language docs (free)</t>
        </is>
      </c>
      <c r="G6" s="55" t="inlineStr">
        <is>
          <t>Serialization format benchmark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62" t="n">
        <v>146</v>
      </c>
      <c r="B7" s="63" t="inlineStr">
        <is>
          <t>Day 146</t>
        </is>
      </c>
      <c r="C7" s="64" t="inlineStr">
        <is>
          <t>Database Performance Optimization</t>
        </is>
      </c>
      <c r="D7" s="57" t="inlineStr">
        <is>
          <t>Query plan analysis, index optimization, connection pooling tuning, slow query log, VACUUM/ANALYZE in PG</t>
        </is>
      </c>
      <c r="E7" s="57" t="inlineStr">
        <is>
          <t>Find 3 slow queries in your app using pg_stat_statements. Optimize each to &lt;10ms.</t>
        </is>
      </c>
      <c r="F7" s="57" t="inlineStr">
        <is>
          <t>EXPLAIN.dalibo.com (free)</t>
        </is>
      </c>
      <c r="G7" s="57" t="inlineStr">
        <is>
          <t>DB optimization report (before/after)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9" t="n">
        <v>147</v>
      </c>
      <c r="B8" s="60" t="inlineStr">
        <is>
          <t>Day 147</t>
        </is>
      </c>
      <c r="C8" s="61" t="inlineStr">
        <is>
          <t>Caching for Performance</t>
        </is>
      </c>
      <c r="D8" s="55" t="inlineStr">
        <is>
          <t>Cache hit rate impact on performance, cache warming strategies, CDN cache hit rate, local vs distributed cache latency</t>
        </is>
      </c>
      <c r="E8" s="55" t="inlineStr">
        <is>
          <t>Implement cache warming on startup. Measure API P99 latency cold (no cache) vs warm.</t>
        </is>
      </c>
      <c r="F8" s="55" t="inlineStr">
        <is>
          <t>Redis best practices docs (free)</t>
        </is>
      </c>
      <c r="G8" s="55" t="inlineStr">
        <is>
          <t>Cache warm-up implementation with metrics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148</v>
      </c>
      <c r="B9" s="60" t="inlineStr">
        <is>
          <t>Day 148</t>
        </is>
      </c>
      <c r="C9" s="61" t="inlineStr">
        <is>
          <t>Batching + Debouncing</t>
        </is>
      </c>
      <c r="D9" s="57" t="inlineStr">
        <is>
          <t>DataLoader batching (combine N DB calls into 1), write batching, debounce vs throttle, micro-batching in Spark</t>
        </is>
      </c>
      <c r="E9" s="57" t="inlineStr">
        <is>
          <t>Implement DataLoader for your GraphQL API. Measure: N+1 (100 DB calls) vs batched (1 DB call).</t>
        </is>
      </c>
      <c r="F9" s="57" t="inlineStr">
        <is>
          <t>DataLoader GitHub (free)</t>
        </is>
      </c>
      <c r="G9" s="57" t="inlineStr">
        <is>
          <t>GraphQL with DataLoader (100x improvement demo)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149</v>
      </c>
      <c r="B10" s="63" t="inlineStr">
        <is>
          <t>Day 149</t>
        </is>
      </c>
      <c r="C10" s="64" t="inlineStr">
        <is>
          <t>Phase 12 Review + Performance Checklist</t>
        </is>
      </c>
      <c r="D10" s="55" t="inlineStr">
        <is>
          <t>Review all perf topics. Build a performance checklist for your project: indexing, caching, pooling, etc.</t>
        </is>
      </c>
      <c r="E10" s="55" t="inlineStr">
        <is>
          <t>Performance audit of your e-commerce API. Apply all learnings. Benchmark before/after.</t>
        </is>
      </c>
      <c r="F10" s="55" t="inlineStr">
        <is>
          <t>Web Performance working group specs (free)</t>
        </is>
      </c>
      <c r="G10" s="55" t="inlineStr">
        <is>
          <t>Full performance audit report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24" customHeight="1">
      <c r="A11" s="13" t="inlineStr">
        <is>
          <t>📊 PHASE SUMMARY</t>
        </is>
      </c>
      <c r="H11" s="65">
        <f>COUNTIF(H4:H10,"✅ Completed")&amp;" / 7 done"</f>
        <v/>
      </c>
      <c r="I11" s="66">
        <f>IFERROR(AVERAGE(I4:I10),"–")</f>
        <v/>
      </c>
      <c r="J11" s="67">
        <f>SUM(J4:J10)</f>
        <v/>
      </c>
    </row>
  </sheetData>
  <mergeCells count="3">
    <mergeCell ref="A2:K2"/>
    <mergeCell ref="A11:G11"/>
    <mergeCell ref="A1:K1"/>
  </mergeCells>
  <dataValidations count="2">
    <dataValidation sqref="H4 H5 H6 H7 H8 H9 H10" showDropDown="0" showInputMessage="0" showErrorMessage="0" allowBlank="1" type="list">
      <formula1>"⬜ Not Started,🔵 In Progress,✅ Completed,🔄 Revisit,⭐ Mastered"</formula1>
    </dataValidation>
    <dataValidation sqref="I4 I5 I6 I7 I8 I9 I1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81" t="inlineStr">
        <is>
          <t>Phase 13: Security at Scale  |  Month 4 (Days 150–159)</t>
        </is>
      </c>
    </row>
    <row r="2" ht="20" customHeight="1">
      <c r="A2" s="82" t="inlineStr">
        <is>
          <t>📝 Update STATUS column daily. Use: ⬜ Not Started | 🔵 In Progress | ✅ Completed | 🔄 Revisit | ⭐ Mastered</t>
        </is>
      </c>
    </row>
    <row r="3" ht="32" customHeight="1">
      <c r="A3" s="83" t="inlineStr">
        <is>
          <t>Day</t>
        </is>
      </c>
      <c r="B3" s="83" t="inlineStr">
        <is>
          <t>Date</t>
        </is>
      </c>
      <c r="C3" s="83" t="inlineStr">
        <is>
          <t>Topic</t>
        </is>
      </c>
      <c r="D3" s="83" t="inlineStr">
        <is>
          <t>Subtopics / Concepts</t>
        </is>
      </c>
      <c r="E3" s="83" t="inlineStr">
        <is>
          <t>Daily Task / Exercise</t>
        </is>
      </c>
      <c r="F3" s="83" t="inlineStr">
        <is>
          <t>Resource</t>
        </is>
      </c>
      <c r="G3" s="83" t="inlineStr">
        <is>
          <t>Mini Project / Output</t>
        </is>
      </c>
      <c r="H3" s="83" t="inlineStr">
        <is>
          <t>Status</t>
        </is>
      </c>
      <c r="I3" s="83" t="inlineStr">
        <is>
          <t>Confidence
(1–5)</t>
        </is>
      </c>
      <c r="J3" s="83" t="inlineStr">
        <is>
          <t>Time
Spent (hr)</t>
        </is>
      </c>
      <c r="K3" s="83" t="inlineStr">
        <is>
          <t>Notes / Blockers</t>
        </is>
      </c>
    </row>
    <row r="4" ht="42" customHeight="1">
      <c r="A4" s="59" t="n">
        <v>150</v>
      </c>
      <c r="B4" s="60" t="inlineStr">
        <is>
          <t>Day 150</t>
        </is>
      </c>
      <c r="C4" s="61" t="inlineStr">
        <is>
          <t>Authentication Methods</t>
        </is>
      </c>
      <c r="D4" s="55" t="inlineStr">
        <is>
          <t>Password hashing (bcrypt, scrypt, Argon2), MFA (TOTP), magic links, passkeys (WebAuthn), biometric</t>
        </is>
      </c>
      <c r="E4" s="55" t="inlineStr">
        <is>
          <t>Implement auth system: bcrypt passwords + TOTP MFA. Verify bcrypt timing safety.</t>
        </is>
      </c>
      <c r="F4" s="55" t="inlineStr">
        <is>
          <t>OWASP Authentication Cheat Sheet (free)</t>
        </is>
      </c>
      <c r="G4" s="55" t="inlineStr">
        <is>
          <t>Auth service with MFA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62" t="n">
        <v>151</v>
      </c>
      <c r="B5" s="63" t="inlineStr">
        <is>
          <t>Day 151</t>
        </is>
      </c>
      <c r="C5" s="64" t="inlineStr">
        <is>
          <t>OAuth 2.0 + OpenID Connect</t>
        </is>
      </c>
      <c r="D5" s="57" t="inlineStr">
        <is>
          <t>OAuth 2.0 flows (authorization code, PKCE, client credentials, implicit), OpenID Connect (ID token, UserInfo endpoint)</t>
        </is>
      </c>
      <c r="E5" s="57" t="inlineStr">
        <is>
          <t>Implement 'Login with Google' using OAuth 2.0 + OIDC. Use PKCE for SPA. Exchange code for token.</t>
        </is>
      </c>
      <c r="F5" s="57" t="inlineStr">
        <is>
          <t>Auth0 OAuth 2.0 overview (free)</t>
        </is>
      </c>
      <c r="G5" s="57" t="inlineStr">
        <is>
          <t>OAuth 2.0 login flow with PKCE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62" t="n">
        <v>152</v>
      </c>
      <c r="B6" s="63" t="inlineStr">
        <is>
          <t>Day 152</t>
        </is>
      </c>
      <c r="C6" s="64" t="inlineStr">
        <is>
          <t>JWT — Structure + Pitfalls</t>
        </is>
      </c>
      <c r="D6" s="55" t="inlineStr">
        <is>
          <t>JWT header.payload.signature, RS256 vs HS256, none algorithm attack, JWT expiry, refresh tokens, token revocation</t>
        </is>
      </c>
      <c r="E6" s="55" t="inlineStr">
        <is>
          <t>Build JWT auth. Demonstrate the 'none' algorithm attack (then fix it). Implement refresh token rotation.</t>
        </is>
      </c>
      <c r="F6" s="55" t="inlineStr">
        <is>
          <t>jwt.io (free) + Portswigger JWT labs (free)</t>
        </is>
      </c>
      <c r="G6" s="55" t="inlineStr">
        <is>
          <t>Secure JWT auth with refresh token rotation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59" t="n">
        <v>153</v>
      </c>
      <c r="B7" s="60" t="inlineStr">
        <is>
          <t>Day 153</t>
        </is>
      </c>
      <c r="C7" s="61" t="inlineStr">
        <is>
          <t>RBAC + ABAC</t>
        </is>
      </c>
      <c r="D7" s="57" t="inlineStr">
        <is>
          <t>Role-based (roles → permissions), attribute-based (policies on user/resource attributes), ACL, when each applies</t>
        </is>
      </c>
      <c r="E7" s="57" t="inlineStr">
        <is>
          <t>Implement RBAC for your API: admin/editor/viewer roles. Then extend to ABAC: 'editor can only edit own posts'.</t>
        </is>
      </c>
      <c r="F7" s="57" t="inlineStr">
        <is>
          <t>Casbin docs (free authorization library)</t>
        </is>
      </c>
      <c r="G7" s="57" t="inlineStr">
        <is>
          <t>RBAC + ABAC middleware for your API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62" t="n">
        <v>154</v>
      </c>
      <c r="B8" s="63" t="inlineStr">
        <is>
          <t>Day 154</t>
        </is>
      </c>
      <c r="C8" s="64" t="inlineStr">
        <is>
          <t>Rate Limiting Algorithms</t>
        </is>
      </c>
      <c r="D8" s="55" t="inlineStr">
        <is>
          <t>Token bucket (burst allowed), leaky bucket (smooth), fixed window (edge reset problem), sliding window log, sliding window counter</t>
        </is>
      </c>
      <c r="E8" s="55" t="inlineStr">
        <is>
          <t>Implement all 5 in code. Show fixed window edge problem. Show token bucket allows burst.</t>
        </is>
      </c>
      <c r="F8" s="55" t="inlineStr">
        <is>
          <t>Cloudflare rate limiting blog (free)</t>
        </is>
      </c>
      <c r="G8" s="55" t="inlineStr">
        <is>
          <t>Rate limiter comparison with test results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62" t="n">
        <v>155</v>
      </c>
      <c r="B9" s="63" t="inlineStr">
        <is>
          <t>Day 155</t>
        </is>
      </c>
      <c r="C9" s="64" t="inlineStr">
        <is>
          <t>OWASP Top 10</t>
        </is>
      </c>
      <c r="D9" s="57" t="inlineStr">
        <is>
          <t>Injection, broken auth, XSS, IDOR, security misconfiguration, cryptographic failures, SSRF, XXE</t>
        </is>
      </c>
      <c r="E9" s="57" t="inlineStr">
        <is>
          <t>Use DVWA (Damn Vulnerable Web App) to practice: SQL injection, XSS, CSRF, IDOR exploits.</t>
        </is>
      </c>
      <c r="F9" s="57" t="inlineStr">
        <is>
          <t>OWASP Top 10 (free) + DVWA</t>
        </is>
      </c>
      <c r="G9" s="57" t="inlineStr">
        <is>
          <t>Security fix report for 5 OWASP vulnerabilities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59" t="n">
        <v>156</v>
      </c>
      <c r="B10" s="60" t="inlineStr">
        <is>
          <t>Day 156</t>
        </is>
      </c>
      <c r="C10" s="61" t="inlineStr">
        <is>
          <t>Encryption + Secrets Management</t>
        </is>
      </c>
      <c r="D10" s="55" t="inlineStr">
        <is>
          <t>Encryption at rest (AES-256), encryption in transit (TLS), envelope encryption, HashiCorp Vault, AWS Secrets Manager</t>
        </is>
      </c>
      <c r="E10" s="55" t="inlineStr">
        <is>
          <t>Set up HashiCorp Vault locally. Store DB credentials. App retrieves secrets from Vault (not .env file).</t>
        </is>
      </c>
      <c r="F10" s="55" t="inlineStr">
        <is>
          <t>Vault getting started (free)</t>
        </is>
      </c>
      <c r="G10" s="55" t="inlineStr">
        <is>
          <t>App with zero hardcoded secrets (all via Vault)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59" t="n">
        <v>157</v>
      </c>
      <c r="B11" s="60" t="inlineStr">
        <is>
          <t>Day 157</t>
        </is>
      </c>
      <c r="C11" s="61" t="inlineStr">
        <is>
          <t>DDoS Protection + WAF</t>
        </is>
      </c>
      <c r="D11" s="57" t="inlineStr">
        <is>
          <t>DDoS types (volumetric, protocol, application-layer), Cloudflare protection, AWS Shield, WAF rules, rate limiting as defense</t>
        </is>
      </c>
      <c r="E11" s="57" t="inlineStr">
        <is>
          <t>Configure Cloudflare WAF rules for your app. Test with simulated bot traffic. Check challenge pages.</t>
        </is>
      </c>
      <c r="F11" s="57" t="inlineStr">
        <is>
          <t>Cloudflare Learning Center (free)</t>
        </is>
      </c>
      <c r="G11" s="57" t="inlineStr">
        <is>
          <t>WAF configuration with rule documentation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62" t="n">
        <v>158</v>
      </c>
      <c r="B12" s="63" t="inlineStr">
        <is>
          <t>Day 158</t>
        </is>
      </c>
      <c r="C12" s="64" t="inlineStr">
        <is>
          <t>Zero Trust Architecture</t>
        </is>
      </c>
      <c r="D12" s="55" t="inlineStr">
        <is>
          <t>Never trust, always verify. mTLS between services, identity-based access, micro-segmentation, BeyondCorp model</t>
        </is>
      </c>
      <c r="E12" s="55" t="inlineStr">
        <is>
          <t>Implement mTLS between 2 microservices using Istio. Every request must present a valid certificate.</t>
        </is>
      </c>
      <c r="F12" s="55" t="inlineStr">
        <is>
          <t>Google BeyondCorp paper (free)</t>
        </is>
      </c>
      <c r="G12" s="55" t="inlineStr">
        <is>
          <t>mTLS between services with Istio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62" t="n">
        <v>159</v>
      </c>
      <c r="B13" s="63" t="inlineStr">
        <is>
          <t>Day 159</t>
        </is>
      </c>
      <c r="C13" s="64" t="inlineStr">
        <is>
          <t>Phase 13 Review + Security Audit</t>
        </is>
      </c>
      <c r="D13" s="57" t="inlineStr">
        <is>
          <t>Review all security topics. Security audit checklist for your e-commerce project.</t>
        </is>
      </c>
      <c r="E13" s="57" t="inlineStr">
        <is>
          <t>Full security audit: run OWASP ZAP against your API. Fix the top 5 findings.</t>
        </is>
      </c>
      <c r="F13" s="57" t="inlineStr">
        <is>
          <t>OWASP ZAP (free scanner)</t>
        </is>
      </c>
      <c r="G13" s="57" t="inlineStr">
        <is>
          <t>Security audit report with fixes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24" customHeight="1">
      <c r="A14" s="14" t="inlineStr">
        <is>
          <t>📊 PHASE SUMMARY</t>
        </is>
      </c>
      <c r="H14" s="65">
        <f>COUNTIF(H4:H13,"✅ Completed")&amp;" / 10 done"</f>
        <v/>
      </c>
      <c r="I14" s="66">
        <f>IFERROR(AVERAGE(I4:I13),"–")</f>
        <v/>
      </c>
      <c r="J14" s="67">
        <f>SUM(J4:J13)</f>
        <v/>
      </c>
    </row>
  </sheetData>
  <mergeCells count="3">
    <mergeCell ref="A2:K2"/>
    <mergeCell ref="A14:G14"/>
    <mergeCell ref="A1:K1"/>
  </mergeCells>
  <dataValidations count="2">
    <dataValidation sqref="H4 H5 H6 H7 H8 H9 H10 H11 H12 H13" showDropDown="0" showInputMessage="0" showErrorMessage="0" allowBlank="1" type="list">
      <formula1>"⬜ Not Started,🔵 In Progress,✅ Completed,🔄 Revisit,⭐ Mastered"</formula1>
    </dataValidation>
    <dataValidation sqref="I4 I5 I6 I7 I8 I9 I10 I11 I12 I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1" t="inlineStr">
        <is>
          <t>Phase 14: Observability  |  Month 4 (Days 160–166)</t>
        </is>
      </c>
    </row>
    <row r="2" ht="20" customHeight="1">
      <c r="A2" s="72" t="inlineStr">
        <is>
          <t>📝 Update STATUS column daily. Use: ⬜ Not Started | 🔵 In Progress | ✅ Completed | 🔄 Revisit | ⭐ Mastered</t>
        </is>
      </c>
    </row>
    <row r="3" ht="32" customHeight="1">
      <c r="A3" s="73" t="inlineStr">
        <is>
          <t>Day</t>
        </is>
      </c>
      <c r="B3" s="73" t="inlineStr">
        <is>
          <t>Date</t>
        </is>
      </c>
      <c r="C3" s="73" t="inlineStr">
        <is>
          <t>Topic</t>
        </is>
      </c>
      <c r="D3" s="73" t="inlineStr">
        <is>
          <t>Subtopics / Concepts</t>
        </is>
      </c>
      <c r="E3" s="73" t="inlineStr">
        <is>
          <t>Daily Task / Exercise</t>
        </is>
      </c>
      <c r="F3" s="73" t="inlineStr">
        <is>
          <t>Resource</t>
        </is>
      </c>
      <c r="G3" s="73" t="inlineStr">
        <is>
          <t>Mini Project / Output</t>
        </is>
      </c>
      <c r="H3" s="73" t="inlineStr">
        <is>
          <t>Status</t>
        </is>
      </c>
      <c r="I3" s="73" t="inlineStr">
        <is>
          <t>Confidence
(1–5)</t>
        </is>
      </c>
      <c r="J3" s="73" t="inlineStr">
        <is>
          <t>Time
Spent (hr)</t>
        </is>
      </c>
      <c r="K3" s="73" t="inlineStr">
        <is>
          <t>Notes / Blockers</t>
        </is>
      </c>
    </row>
    <row r="4" ht="42" customHeight="1">
      <c r="A4" s="59" t="n">
        <v>160</v>
      </c>
      <c r="B4" s="60" t="inlineStr">
        <is>
          <t>Day 160</t>
        </is>
      </c>
      <c r="C4" s="61" t="inlineStr">
        <is>
          <t>Structured Logging</t>
        </is>
      </c>
      <c r="D4" s="55" t="inlineStr">
        <is>
          <t>JSON logging, log levels (DEBUG/INFO/WARN/ERROR), correlation IDs, log aggregation (ELK stack, Loki)</t>
        </is>
      </c>
      <c r="E4" s="55" t="inlineStr">
        <is>
          <t>Add structured logging to all your services. Include requestId, userId, duration, error fields.</t>
        </is>
      </c>
      <c r="F4" s="55" t="inlineStr">
        <is>
          <t>Elastic ELK stack docs (free)</t>
        </is>
      </c>
      <c r="G4" s="55" t="inlineStr">
        <is>
          <t>Centralized logging with Kibana dashboard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9" t="n">
        <v>161</v>
      </c>
      <c r="B5" s="60" t="inlineStr">
        <is>
          <t>Day 161</t>
        </is>
      </c>
      <c r="C5" s="61" t="inlineStr">
        <is>
          <t>Metrics + Prometheus</t>
        </is>
      </c>
      <c r="D5" s="57" t="inlineStr">
        <is>
          <t>Counters, gauges, histograms, summaries, Prometheus scrape model, PromQL, recording rules, Grafana</t>
        </is>
      </c>
      <c r="E5" s="57" t="inlineStr">
        <is>
          <t>Add Prometheus metrics to your API: request rate, error rate, p99 latency. Build Grafana dashboard.</t>
        </is>
      </c>
      <c r="F5" s="57" t="inlineStr">
        <is>
          <t>Prometheus getting started (free)</t>
        </is>
      </c>
      <c r="G5" s="57" t="inlineStr">
        <is>
          <t>Grafana dashboard for your API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62" t="n">
        <v>162</v>
      </c>
      <c r="B6" s="63" t="inlineStr">
        <is>
          <t>Day 162</t>
        </is>
      </c>
      <c r="C6" s="64" t="inlineStr">
        <is>
          <t>Distributed Tracing</t>
        </is>
      </c>
      <c r="D6" s="55" t="inlineStr">
        <is>
          <t>OpenTelemetry, spans, trace context propagation (W3C TraceContext), Jaeger, Zipkin, sampling strategies</t>
        </is>
      </c>
      <c r="E6" s="55" t="inlineStr">
        <is>
          <t>Add OpenTelemetry to 3 services. View end-to-end trace in Jaeger for an order request.</t>
        </is>
      </c>
      <c r="F6" s="55" t="inlineStr">
        <is>
          <t>OpenTelemetry official docs (free)</t>
        </is>
      </c>
      <c r="G6" s="55" t="inlineStr">
        <is>
          <t>Distributed traces in Jaeger for order flow</t>
        </is>
      </c>
      <c r="H6" s="56" t="inlineStr">
        <is>
          <t>⬜ Not Started</t>
        </is>
      </c>
      <c r="I6" s="56" t="inlineStr"/>
      <c r="J6" s="56" t="inlineStr"/>
      <c r="K6" s="55" t="inlineStr">
        <is>
          <t>SDE2 extra: OTEL is the industry standard now</t>
        </is>
      </c>
    </row>
    <row r="7" ht="42" customHeight="1">
      <c r="A7" s="59" t="n">
        <v>163</v>
      </c>
      <c r="B7" s="60" t="inlineStr">
        <is>
          <t>Day 163</t>
        </is>
      </c>
      <c r="C7" s="61" t="inlineStr">
        <is>
          <t>SLI, SLO, SLA + Error Budgets</t>
        </is>
      </c>
      <c r="D7" s="57" t="inlineStr">
        <is>
          <t>SLI (what you measure), SLO (target %), SLA (contractual), error budget = 100% - SLO, burn rate alerts</t>
        </is>
      </c>
      <c r="E7" s="57" t="inlineStr">
        <is>
          <t>Define SLIs + SLOs for your API. Calculate error budget. Set up burn rate alert in Prometheus.</t>
        </is>
      </c>
      <c r="F7" s="57" t="inlineStr">
        <is>
          <t>Google SRE Book Ch.4 (free at sre.google)</t>
        </is>
      </c>
      <c r="G7" s="57" t="inlineStr">
        <is>
          <t>SLO dashboard with error budget tracking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59" t="n">
        <v>164</v>
      </c>
      <c r="B8" s="60" t="inlineStr">
        <is>
          <t>Day 164</t>
        </is>
      </c>
      <c r="C8" s="61" t="inlineStr">
        <is>
          <t>Alerting + On-Call</t>
        </is>
      </c>
      <c r="D8" s="55" t="inlineStr">
        <is>
          <t>Alert fatigue, PagerDuty/Opsgenie, runbooks, on-call rotation, incident commander role, blameless postmortem</t>
        </is>
      </c>
      <c r="E8" s="55" t="inlineStr">
        <is>
          <t>Set up alerting for your API: alert if error rate &gt;1% for 5 min. Write a runbook for the alert.</t>
        </is>
      </c>
      <c r="F8" s="55" t="inlineStr">
        <is>
          <t>PagerDuty alerting best practices (free blog)</t>
        </is>
      </c>
      <c r="G8" s="55" t="inlineStr">
        <is>
          <t>Alert rules + runbook for your API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165</v>
      </c>
      <c r="B9" s="60" t="inlineStr">
        <is>
          <t>Day 165</t>
        </is>
      </c>
      <c r="C9" s="61" t="inlineStr">
        <is>
          <t>USE + RED Method</t>
        </is>
      </c>
      <c r="D9" s="57" t="inlineStr">
        <is>
          <t>USE method (Utilization, Saturation, Errors for resources), RED method (Rate, Errors, Duration for services)</t>
        </is>
      </c>
      <c r="E9" s="57" t="inlineStr">
        <is>
          <t>Apply USE method to your DB (CPU util, connection saturation, query errors). RED to your API.</t>
        </is>
      </c>
      <c r="F9" s="57" t="inlineStr">
        <is>
          <t>Brendan Gregg USE method (free)</t>
        </is>
      </c>
      <c r="G9" s="57" t="inlineStr">
        <is>
          <t>USE + RED dashboard in Grafana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166</v>
      </c>
      <c r="B10" s="63" t="inlineStr">
        <is>
          <t>Day 166</t>
        </is>
      </c>
      <c r="C10" s="64" t="inlineStr">
        <is>
          <t>Phase 14 Review + Full Observability Stack</t>
        </is>
      </c>
      <c r="D10" s="55" t="inlineStr">
        <is>
          <t>Logs + Metrics + Traces together. The three pillars. APM tools. Honeycomb, Datadog overview.</t>
        </is>
      </c>
      <c r="E10" s="55" t="inlineStr">
        <is>
          <t>Final observability setup: all 3 pillars for your e-commerce. Demo: trace an error from alert → log → trace.</t>
        </is>
      </c>
      <c r="F10" s="55" t="inlineStr">
        <is>
          <t>Honeycomb Observability Engineering (free O'Reilly)</t>
        </is>
      </c>
      <c r="G10" s="55" t="inlineStr">
        <is>
          <t>Complete observability stack demo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24" customHeight="1">
      <c r="A11" s="12" t="inlineStr">
        <is>
          <t>📊 PHASE SUMMARY</t>
        </is>
      </c>
      <c r="H11" s="65">
        <f>COUNTIF(H4:H10,"✅ Completed")&amp;" / 7 done"</f>
        <v/>
      </c>
      <c r="I11" s="66">
        <f>IFERROR(AVERAGE(I4:I10),"–")</f>
        <v/>
      </c>
      <c r="J11" s="67">
        <f>SUM(J4:J10)</f>
        <v/>
      </c>
    </row>
  </sheetData>
  <mergeCells count="3">
    <mergeCell ref="A2:K2"/>
    <mergeCell ref="A11:G11"/>
    <mergeCell ref="A1:K1"/>
  </mergeCells>
  <dataValidations count="2">
    <dataValidation sqref="H4 H5 H6 H7 H8 H9 H10" showDropDown="0" showInputMessage="0" showErrorMessage="0" allowBlank="1" type="list">
      <formula1>"⬜ Not Started,🔵 In Progress,✅ Completed,🔄 Revisit,⭐ Mastered"</formula1>
    </dataValidation>
    <dataValidation sqref="I4 I5 I6 I7 I8 I9 I1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40" customWidth="1" min="4" max="4"/>
    <col width="36" customWidth="1" min="5" max="5"/>
    <col width="28" customWidth="1" min="6" max="6"/>
    <col width="32" customWidth="1" min="7" max="7"/>
    <col width="14" customWidth="1" min="8" max="8"/>
    <col width="11" customWidth="1" min="9" max="9"/>
    <col width="11" customWidth="1" min="10" max="10"/>
    <col width="32" customWidth="1" min="11" max="11"/>
  </cols>
  <sheetData>
    <row r="1" ht="40" customHeight="1">
      <c r="A1" s="71" t="inlineStr">
        <is>
          <t>Phase 15: DevOps &amp; Infrastructure  |  Month 5 (Days 167–180)</t>
        </is>
      </c>
    </row>
    <row r="2" ht="20" customHeight="1">
      <c r="A2" s="72" t="inlineStr">
        <is>
          <t>📝 Update STATUS column daily. Use: ⬜ Not Started | 🔵 In Progress | ✅ Completed | 🔄 Revisit | ⭐ Mastered</t>
        </is>
      </c>
    </row>
    <row r="3" ht="32" customHeight="1">
      <c r="A3" s="73" t="inlineStr">
        <is>
          <t>Day</t>
        </is>
      </c>
      <c r="B3" s="73" t="inlineStr">
        <is>
          <t>Date</t>
        </is>
      </c>
      <c r="C3" s="73" t="inlineStr">
        <is>
          <t>Topic</t>
        </is>
      </c>
      <c r="D3" s="73" t="inlineStr">
        <is>
          <t>Subtopics / Concepts</t>
        </is>
      </c>
      <c r="E3" s="73" t="inlineStr">
        <is>
          <t>Daily Task / Exercise</t>
        </is>
      </c>
      <c r="F3" s="73" t="inlineStr">
        <is>
          <t>Resource</t>
        </is>
      </c>
      <c r="G3" s="73" t="inlineStr">
        <is>
          <t>Mini Project / Output</t>
        </is>
      </c>
      <c r="H3" s="73" t="inlineStr">
        <is>
          <t>Status</t>
        </is>
      </c>
      <c r="I3" s="73" t="inlineStr">
        <is>
          <t>Confidence
(1–5)</t>
        </is>
      </c>
      <c r="J3" s="73" t="inlineStr">
        <is>
          <t>Time
Spent (hr)</t>
        </is>
      </c>
      <c r="K3" s="73" t="inlineStr">
        <is>
          <t>Notes / Blockers</t>
        </is>
      </c>
    </row>
    <row r="4" ht="42" customHeight="1">
      <c r="A4" s="52" t="n">
        <v>167</v>
      </c>
      <c r="B4" s="53" t="inlineStr">
        <is>
          <t>Day 167</t>
        </is>
      </c>
      <c r="C4" s="54" t="inlineStr">
        <is>
          <t>Docker Fundamentals</t>
        </is>
      </c>
      <c r="D4" s="55" t="inlineStr">
        <is>
          <t>Docker images, containers, Dockerfile (FROM, RUN, COPY, CMD, ENTRYPOINT), layers, build cache, multi-stage builds</t>
        </is>
      </c>
      <c r="E4" s="55" t="inlineStr">
        <is>
          <t>Dockerize your e-commerce API. Multi-stage build (builder → runtime). Push to Docker Hub.</t>
        </is>
      </c>
      <c r="F4" s="55" t="inlineStr">
        <is>
          <t>Docker getting started (free)</t>
        </is>
      </c>
      <c r="G4" s="55" t="inlineStr">
        <is>
          <t>Dockerized e-commerce API</t>
        </is>
      </c>
      <c r="H4" s="56" t="inlineStr">
        <is>
          <t>⬜ Not Started</t>
        </is>
      </c>
      <c r="I4" s="56" t="inlineStr"/>
      <c r="J4" s="56" t="inlineStr"/>
      <c r="K4" s="55" t="inlineStr"/>
    </row>
    <row r="5" ht="42" customHeight="1">
      <c r="A5" s="52" t="n">
        <v>168</v>
      </c>
      <c r="B5" s="53" t="inlineStr">
        <is>
          <t>Day 168</t>
        </is>
      </c>
      <c r="C5" s="54" t="inlineStr">
        <is>
          <t>Docker Compose</t>
        </is>
      </c>
      <c r="D5" s="57" t="inlineStr">
        <is>
          <t>docker-compose.yml, services, volumes, networks, environment variables, health checks, depends_on</t>
        </is>
      </c>
      <c r="E5" s="57" t="inlineStr">
        <is>
          <t>Docker Compose for full e-commerce: API + PostgreSQL + Redis + Nginx. One command to start all.</t>
        </is>
      </c>
      <c r="F5" s="57" t="inlineStr">
        <is>
          <t>Docker Compose docs (free)</t>
        </is>
      </c>
      <c r="G5" s="57" t="inlineStr">
        <is>
          <t>Full stack docker-compose.yml</t>
        </is>
      </c>
      <c r="H5" s="58" t="inlineStr">
        <is>
          <t>⬜ Not Started</t>
        </is>
      </c>
      <c r="I5" s="58" t="inlineStr"/>
      <c r="J5" s="58" t="inlineStr"/>
      <c r="K5" s="57" t="inlineStr"/>
    </row>
    <row r="6" ht="42" customHeight="1">
      <c r="A6" s="59" t="n">
        <v>169</v>
      </c>
      <c r="B6" s="60" t="inlineStr">
        <is>
          <t>Day 169</t>
        </is>
      </c>
      <c r="C6" s="61" t="inlineStr">
        <is>
          <t>Kubernetes Fundamentals</t>
        </is>
      </c>
      <c r="D6" s="55" t="inlineStr">
        <is>
          <t>Pods, ReplicaSets, Deployments, Services (ClusterIP/NodePort/LoadBalancer), Namespaces, kubectl basics</t>
        </is>
      </c>
      <c r="E6" s="55" t="inlineStr">
        <is>
          <t>Deploy your API to local k3s/kind. Scale to 3 replicas. Expose with a Service. Access it.</t>
        </is>
      </c>
      <c r="F6" s="55" t="inlineStr">
        <is>
          <t>Kubernetes official tutorial (free)</t>
        </is>
      </c>
      <c r="G6" s="55" t="inlineStr">
        <is>
          <t>API deployed on Kubernetes with 3 replicas</t>
        </is>
      </c>
      <c r="H6" s="56" t="inlineStr">
        <is>
          <t>⬜ Not Started</t>
        </is>
      </c>
      <c r="I6" s="56" t="inlineStr"/>
      <c r="J6" s="56" t="inlineStr"/>
      <c r="K6" s="55" t="inlineStr"/>
    </row>
    <row r="7" ht="42" customHeight="1">
      <c r="A7" s="59" t="n">
        <v>170</v>
      </c>
      <c r="B7" s="60" t="inlineStr">
        <is>
          <t>Day 170</t>
        </is>
      </c>
      <c r="C7" s="61" t="inlineStr">
        <is>
          <t>Kubernetes — ConfigMaps, Secrets, Ingress</t>
        </is>
      </c>
      <c r="D7" s="57" t="inlineStr">
        <is>
          <t>ConfigMaps (non-secret config), Secrets (base64, better: Vault), Ingress (routing rules), IngressController (Nginx)</t>
        </is>
      </c>
      <c r="E7" s="57" t="inlineStr">
        <is>
          <t>Move all DB credentials to K8s Secrets. Add Ingress rules for /api/* and /admin/*.</t>
        </is>
      </c>
      <c r="F7" s="57" t="inlineStr">
        <is>
          <t>Kubernetes docs (free)</t>
        </is>
      </c>
      <c r="G7" s="57" t="inlineStr">
        <is>
          <t>K8s deployment with proper secrets + Ingress</t>
        </is>
      </c>
      <c r="H7" s="58" t="inlineStr">
        <is>
          <t>⬜ Not Started</t>
        </is>
      </c>
      <c r="I7" s="58" t="inlineStr"/>
      <c r="J7" s="58" t="inlineStr"/>
      <c r="K7" s="57" t="inlineStr"/>
    </row>
    <row r="8" ht="42" customHeight="1">
      <c r="A8" s="62" t="n">
        <v>171</v>
      </c>
      <c r="B8" s="63" t="inlineStr">
        <is>
          <t>Day 171</t>
        </is>
      </c>
      <c r="C8" s="64" t="inlineStr">
        <is>
          <t>Kubernetes — HPA + Resource Limits</t>
        </is>
      </c>
      <c r="D8" s="55" t="inlineStr">
        <is>
          <t>Horizontal Pod Autoscaler, resource requests vs limits, QoS classes (Guaranteed/Burstable/BestEffort), VPA</t>
        </is>
      </c>
      <c r="E8" s="55" t="inlineStr">
        <is>
          <t>Set up HPA for your API (scale on CPU &gt;70%). Load test with k6. Watch pods scale up/down.</t>
        </is>
      </c>
      <c r="F8" s="55" t="inlineStr">
        <is>
          <t>K8s HPA docs (free)</t>
        </is>
      </c>
      <c r="G8" s="55" t="inlineStr">
        <is>
          <t>Auto-scaling demo with load test graph</t>
        </is>
      </c>
      <c r="H8" s="56" t="inlineStr">
        <is>
          <t>⬜ Not Started</t>
        </is>
      </c>
      <c r="I8" s="56" t="inlineStr"/>
      <c r="J8" s="56" t="inlineStr"/>
      <c r="K8" s="55" t="inlineStr"/>
    </row>
    <row r="9" ht="42" customHeight="1">
      <c r="A9" s="59" t="n">
        <v>172</v>
      </c>
      <c r="B9" s="60" t="inlineStr">
        <is>
          <t>Day 172</t>
        </is>
      </c>
      <c r="C9" s="61" t="inlineStr">
        <is>
          <t>CI/CD — GitHub Actions</t>
        </is>
      </c>
      <c r="D9" s="57" t="inlineStr">
        <is>
          <t>Workflow syntax, triggers (push, PR, schedule), jobs, steps, secrets, matrix builds, caching, artifacts</t>
        </is>
      </c>
      <c r="E9" s="57" t="inlineStr">
        <is>
          <t>Build CI pipeline: lint → unit test → integration test → Docker build → push to registry.</t>
        </is>
      </c>
      <c r="F9" s="57" t="inlineStr">
        <is>
          <t>GitHub Actions docs (free)</t>
        </is>
      </c>
      <c r="G9" s="57" t="inlineStr">
        <is>
          <t>Complete CI pipeline on GitHub Actions</t>
        </is>
      </c>
      <c r="H9" s="58" t="inlineStr">
        <is>
          <t>⬜ Not Started</t>
        </is>
      </c>
      <c r="I9" s="58" t="inlineStr"/>
      <c r="J9" s="58" t="inlineStr"/>
      <c r="K9" s="57" t="inlineStr"/>
    </row>
    <row r="10" ht="42" customHeight="1">
      <c r="A10" s="62" t="n">
        <v>173</v>
      </c>
      <c r="B10" s="63" t="inlineStr">
        <is>
          <t>Day 173</t>
        </is>
      </c>
      <c r="C10" s="64" t="inlineStr">
        <is>
          <t>CD — Deploy Pipeline</t>
        </is>
      </c>
      <c r="D10" s="55" t="inlineStr">
        <is>
          <t>CD strategies (rolling, blue-green, canary), ArgoCD (GitOps), deployment approval gates, rollback</t>
        </is>
      </c>
      <c r="E10" s="55" t="inlineStr">
        <is>
          <t>Set up ArgoCD. Deploy via Git push. Implement canary rollout: 10% → 50% → 100% with approval.</t>
        </is>
      </c>
      <c r="F10" s="55" t="inlineStr">
        <is>
          <t>ArgoCD getting started (free)</t>
        </is>
      </c>
      <c r="G10" s="55" t="inlineStr">
        <is>
          <t>ArgoCD GitOps deployment pipeline</t>
        </is>
      </c>
      <c r="H10" s="56" t="inlineStr">
        <is>
          <t>⬜ Not Started</t>
        </is>
      </c>
      <c r="I10" s="56" t="inlineStr"/>
      <c r="J10" s="56" t="inlineStr"/>
      <c r="K10" s="55" t="inlineStr"/>
    </row>
    <row r="11" ht="42" customHeight="1">
      <c r="A11" s="62" t="n">
        <v>174</v>
      </c>
      <c r="B11" s="63" t="inlineStr">
        <is>
          <t>Day 174</t>
        </is>
      </c>
      <c r="C11" s="64" t="inlineStr">
        <is>
          <t>Terraform — Infrastructure as Code</t>
        </is>
      </c>
      <c r="D11" s="57" t="inlineStr">
        <is>
          <t>Terraform state, providers, resources, variables, outputs, modules, plan/apply/destroy, remote state</t>
        </is>
      </c>
      <c r="E11" s="57" t="inlineStr">
        <is>
          <t>Provision a VPC + EC2 + RDS + S3 on AWS (free tier) with Terraform. Destroy and recreate.</t>
        </is>
      </c>
      <c r="F11" s="57" t="inlineStr">
        <is>
          <t>Terraform getting started (free)</t>
        </is>
      </c>
      <c r="G11" s="57" t="inlineStr">
        <is>
          <t>AWS infrastructure via Terraform</t>
        </is>
      </c>
      <c r="H11" s="58" t="inlineStr">
        <is>
          <t>⬜ Not Started</t>
        </is>
      </c>
      <c r="I11" s="58" t="inlineStr"/>
      <c r="J11" s="58" t="inlineStr"/>
      <c r="K11" s="57" t="inlineStr"/>
    </row>
    <row r="12" ht="42" customHeight="1">
      <c r="A12" s="59" t="n">
        <v>175</v>
      </c>
      <c r="B12" s="60" t="inlineStr">
        <is>
          <t>Day 175</t>
        </is>
      </c>
      <c r="C12" s="61" t="inlineStr">
        <is>
          <t>Cloud Services — AWS Core</t>
        </is>
      </c>
      <c r="D12" s="55" t="inlineStr">
        <is>
          <t>EC2, RDS, S3, SQS, SNS, ElastiCache, ALB, ECS, Lambda, CloudWatch, IAM, VPC, Route53</t>
        </is>
      </c>
      <c r="E12" s="55" t="inlineStr">
        <is>
          <t>Map your e-commerce architecture to AWS services. Deploy one component (API) to ECS Fargate.</t>
        </is>
      </c>
      <c r="F12" s="55" t="inlineStr">
        <is>
          <t>AWS Free Tier hands-on labs</t>
        </is>
      </c>
      <c r="G12" s="55" t="inlineStr">
        <is>
          <t>E-commerce on AWS architecture diagram + partial deploy</t>
        </is>
      </c>
      <c r="H12" s="56" t="inlineStr">
        <is>
          <t>⬜ Not Started</t>
        </is>
      </c>
      <c r="I12" s="56" t="inlineStr"/>
      <c r="J12" s="56" t="inlineStr"/>
      <c r="K12" s="55" t="inlineStr"/>
    </row>
    <row r="13" ht="42" customHeight="1">
      <c r="A13" s="59" t="n">
        <v>176</v>
      </c>
      <c r="B13" s="60" t="inlineStr">
        <is>
          <t>Day 176</t>
        </is>
      </c>
      <c r="C13" s="61" t="inlineStr">
        <is>
          <t>Cost Optimization + Managed Services</t>
        </is>
      </c>
      <c r="D13" s="57" t="inlineStr">
        <is>
          <t>Reserved vs on-demand vs spot instances, rightsizing, serverless cost model, managed vs self-hosted tradeoffs</t>
        </is>
      </c>
      <c r="E13" s="57" t="inlineStr">
        <is>
          <t>Calculate cost for 3 architectures: self-hosted k8s vs ECS vs Lambda for your API at 10K req/day.</t>
        </is>
      </c>
      <c r="F13" s="57" t="inlineStr">
        <is>
          <t>AWS Pricing Calculator (free)</t>
        </is>
      </c>
      <c r="G13" s="57" t="inlineStr">
        <is>
          <t>Cost comparison document</t>
        </is>
      </c>
      <c r="H13" s="58" t="inlineStr">
        <is>
          <t>⬜ Not Started</t>
        </is>
      </c>
      <c r="I13" s="58" t="inlineStr"/>
      <c r="J13" s="58" t="inlineStr"/>
      <c r="K13" s="57" t="inlineStr"/>
    </row>
    <row r="14" ht="42" customHeight="1">
      <c r="A14" s="62" t="n">
        <v>177</v>
      </c>
      <c r="B14" s="63" t="inlineStr">
        <is>
          <t>Day 177</t>
        </is>
      </c>
      <c r="C14" s="64" t="inlineStr">
        <is>
          <t>GitOps + Configuration Management</t>
        </is>
      </c>
      <c r="D14" s="55" t="inlineStr">
        <is>
          <t>GitOps principles, Flux vs ArgoCD, Ansible for config management, immutable infrastructure</t>
        </is>
      </c>
      <c r="E14" s="55" t="inlineStr">
        <is>
          <t>Full GitOps: all infra + app config in Git. ArgoCD auto-deploys on merge. Ansible provisions servers.</t>
        </is>
      </c>
      <c r="F14" s="55" t="inlineStr">
        <is>
          <t>FluxCD docs (free)</t>
        </is>
      </c>
      <c r="G14" s="55" t="inlineStr">
        <is>
          <t>GitOps workflow for your project</t>
        </is>
      </c>
      <c r="H14" s="56" t="inlineStr">
        <is>
          <t>⬜ Not Started</t>
        </is>
      </c>
      <c r="I14" s="56" t="inlineStr"/>
      <c r="J14" s="56" t="inlineStr"/>
      <c r="K14" s="55" t="inlineStr"/>
    </row>
    <row r="15" ht="42" customHeight="1">
      <c r="A15" s="59" t="n">
        <v>178</v>
      </c>
      <c r="B15" s="60" t="inlineStr">
        <is>
          <t>Day 178</t>
        </is>
      </c>
      <c r="C15" s="61" t="inlineStr">
        <is>
          <t>Edge Platforms + Serverless Edge</t>
        </is>
      </c>
      <c r="D15" s="57" t="inlineStr">
        <is>
          <t>Cloudflare Workers (V8 isolates, no cold start), Vercel Edge, Deno Deploy, use cases vs traditional Lambda</t>
        </is>
      </c>
      <c r="E15" s="57" t="inlineStr">
        <is>
          <t>Deploy an API route to Cloudflare Workers. Measure latency vs EC2. Understand billing model.</t>
        </is>
      </c>
      <c r="F15" s="57" t="inlineStr">
        <is>
          <t>Cloudflare Workers docs (free)</t>
        </is>
      </c>
      <c r="G15" s="57" t="inlineStr">
        <is>
          <t>Edge function deployment with latency comparison</t>
        </is>
      </c>
      <c r="H15" s="58" t="inlineStr">
        <is>
          <t>⬜ Not Started</t>
        </is>
      </c>
      <c r="I15" s="58" t="inlineStr"/>
      <c r="J15" s="58" t="inlineStr"/>
      <c r="K15" s="57" t="inlineStr"/>
    </row>
    <row r="16" ht="42" customHeight="1">
      <c r="A16" s="62" t="n">
        <v>179</v>
      </c>
      <c r="B16" s="63" t="inlineStr">
        <is>
          <t>Day 179</t>
        </is>
      </c>
      <c r="C16" s="64" t="inlineStr">
        <is>
          <t>Monitoring in Production + K8s Observability</t>
        </is>
      </c>
      <c r="D16" s="55" t="inlineStr">
        <is>
          <t>kube-state-metrics, node-exporter, Loki for K8s logs, Grafana dashboards for K8s, cluster autoscaler</t>
        </is>
      </c>
      <c r="E16" s="55" t="inlineStr">
        <is>
          <t>Full K8s observability: Prometheus + Grafana + Loki. Alert on pod OOMKilled or CrashLoopBackOff.</t>
        </is>
      </c>
      <c r="F16" s="55" t="inlineStr">
        <is>
          <t>kube-prometheus stack docs (free)</t>
        </is>
      </c>
      <c r="G16" s="55" t="inlineStr">
        <is>
          <t>K8s observability stack with alerts</t>
        </is>
      </c>
      <c r="H16" s="56" t="inlineStr">
        <is>
          <t>⬜ Not Started</t>
        </is>
      </c>
      <c r="I16" s="56" t="inlineStr"/>
      <c r="J16" s="56" t="inlineStr"/>
      <c r="K16" s="55" t="inlineStr"/>
    </row>
    <row r="17" ht="42" customHeight="1">
      <c r="A17" s="62" t="n">
        <v>180</v>
      </c>
      <c r="B17" s="63" t="inlineStr">
        <is>
          <t>Day 180</t>
        </is>
      </c>
      <c r="C17" s="64" t="inlineStr">
        <is>
          <t>Phase 15 Review + Full System Deploy</t>
        </is>
      </c>
      <c r="D17" s="57" t="inlineStr">
        <is>
          <t>Review all DevOps. Final milestone: full e-commerce system deployed on Kubernetes with CI/CD + monitoring.</t>
        </is>
      </c>
      <c r="E17" s="57" t="inlineStr">
        <is>
          <t>End-to-end: CI (GitHub Actions) → CD (ArgoCD) → K8s → Prometheus/Grafana. Full working system.</t>
        </is>
      </c>
      <c r="F17" s="57" t="inlineStr">
        <is>
          <t>All your project docs</t>
        </is>
      </c>
      <c r="G17" s="57" t="inlineStr">
        <is>
          <t>🏆 COMPLETE E-COMMERCE SYSTEM DEPLOYED</t>
        </is>
      </c>
      <c r="H17" s="58" t="inlineStr">
        <is>
          <t>⬜ Not Started</t>
        </is>
      </c>
      <c r="I17" s="58" t="inlineStr"/>
      <c r="J17" s="58" t="inlineStr"/>
      <c r="K17" s="57" t="inlineStr">
        <is>
          <t>Huge milestone — full SDE2-level project!</t>
        </is>
      </c>
    </row>
    <row r="18" ht="24" customHeight="1">
      <c r="A18" s="12" t="inlineStr">
        <is>
          <t>📊 PHASE SUMMARY</t>
        </is>
      </c>
      <c r="H18" s="65">
        <f>COUNTIF(H4:H17,"✅ Completed")&amp;" / 14 done"</f>
        <v/>
      </c>
      <c r="I18" s="66">
        <f>IFERROR(AVERAGE(I4:I17),"–")</f>
        <v/>
      </c>
      <c r="J18" s="67">
        <f>SUM(J4:J17)</f>
        <v/>
      </c>
    </row>
  </sheetData>
  <mergeCells count="3">
    <mergeCell ref="A2:K2"/>
    <mergeCell ref="A1:K1"/>
    <mergeCell ref="A18:G18"/>
  </mergeCells>
  <dataValidations count="2">
    <dataValidation sqref="H4 H5 H6 H7 H8 H9 H10 H11 H12 H13 H14 H15 H16 H17" showDropDown="0" showInputMessage="0" showErrorMessage="0" allowBlank="1" type="list">
      <formula1>"⬜ Not Started,🔵 In Progress,✅ Completed,🔄 Revisit,⭐ Mastered"</formula1>
    </dataValidation>
    <dataValidation sqref="I4 I5 I6 I7 I8 I9 I10 I11 I12 I13 I14 I15 I16 I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45" customWidth="1" min="5" max="5"/>
    <col width="12" customWidth="1" min="6" max="6"/>
    <col width="14" customWidth="1" min="7" max="7"/>
    <col width="14" customWidth="1" min="8" max="8"/>
    <col width="38" customWidth="1" min="9" max="9"/>
    <col width="14" customWidth="1" min="10" max="10"/>
  </cols>
  <sheetData>
    <row r="1" ht="36" customHeight="1">
      <c r="A1" s="91" t="inlineStr">
        <is>
          <t>Phase 16: Practice Problems — Tier 1 → Tier 4  |  Month 5–6 (Days 181–180)</t>
        </is>
      </c>
    </row>
    <row r="2" ht="28" customHeight="1">
      <c r="A2" s="86" t="inlineStr">
        <is>
          <t>#</t>
        </is>
      </c>
      <c r="B2" s="86" t="inlineStr">
        <is>
          <t>Problem</t>
        </is>
      </c>
      <c r="C2" s="86" t="inlineStr">
        <is>
          <t>Tier</t>
        </is>
      </c>
      <c r="D2" s="86" t="inlineStr">
        <is>
          <t>Domain</t>
        </is>
      </c>
      <c r="E2" s="86" t="inlineStr">
        <is>
          <t>Key Concepts</t>
        </is>
      </c>
      <c r="F2" s="86" t="inlineStr">
        <is>
          <t>Difficulty</t>
        </is>
      </c>
      <c r="G2" s="86" t="inlineStr">
        <is>
          <t>Status</t>
        </is>
      </c>
      <c r="H2" s="86" t="inlineStr">
        <is>
          <t>Attempt Date</t>
        </is>
      </c>
      <c r="I2" s="86" t="inlineStr">
        <is>
          <t>Notes / Design Doc Link</t>
        </is>
      </c>
      <c r="J2" s="86" t="inlineStr">
        <is>
          <t>Mock Score (1–10)</t>
        </is>
      </c>
    </row>
    <row r="3" ht="36" customHeight="1">
      <c r="A3" s="52" t="n">
        <v>1</v>
      </c>
      <c r="B3" s="54" t="inlineStr">
        <is>
          <t>URL Shortener (Bitly)</t>
        </is>
      </c>
      <c r="C3" s="52" t="inlineStr">
        <is>
          <t>T1</t>
        </is>
      </c>
      <c r="D3" s="53" t="inlineStr">
        <is>
          <t>Web/DB</t>
        </is>
      </c>
      <c r="E3" s="55" t="inlineStr">
        <is>
          <t>Hashing (Base62), redirect, analytics, storage estimation, cache for redirects</t>
        </is>
      </c>
      <c r="F3" s="56" t="inlineStr">
        <is>
          <t>Easy</t>
        </is>
      </c>
      <c r="G3" s="56" t="inlineStr">
        <is>
          <t>⬜ Not Started</t>
        </is>
      </c>
      <c r="H3" s="56" t="inlineStr"/>
      <c r="I3" s="55" t="inlineStr"/>
      <c r="J3" s="56" t="inlineStr"/>
    </row>
    <row r="4" ht="36" customHeight="1">
      <c r="A4" s="52" t="n">
        <v>2</v>
      </c>
      <c r="B4" s="54" t="inlineStr">
        <is>
          <t>Pastebin</t>
        </is>
      </c>
      <c r="C4" s="52" t="inlineStr">
        <is>
          <t>T1</t>
        </is>
      </c>
      <c r="D4" s="53" t="inlineStr">
        <is>
          <t>Web/Storage</t>
        </is>
      </c>
      <c r="E4" s="57" t="inlineStr">
        <is>
          <t>Key generation, expiry (TTL), rate limiting, S3 for content storage</t>
        </is>
      </c>
      <c r="F4" s="58" t="inlineStr">
        <is>
          <t>Easy</t>
        </is>
      </c>
      <c r="G4" s="58" t="inlineStr">
        <is>
          <t>⬜ Not Started</t>
        </is>
      </c>
      <c r="H4" s="58" t="inlineStr"/>
      <c r="I4" s="57" t="inlineStr"/>
      <c r="J4" s="58" t="inlineStr"/>
    </row>
    <row r="5" ht="36" customHeight="1">
      <c r="A5" s="52" t="n">
        <v>3</v>
      </c>
      <c r="B5" s="54" t="inlineStr">
        <is>
          <t>Distributed Rate Limiter</t>
        </is>
      </c>
      <c r="C5" s="52" t="inlineStr">
        <is>
          <t>T1</t>
        </is>
      </c>
      <c r="D5" s="53" t="inlineStr">
        <is>
          <t>Infra</t>
        </is>
      </c>
      <c r="E5" s="55" t="inlineStr">
        <is>
          <t>Token bucket, Redis INCR+EXPIRE, sliding window, consistency across nodes</t>
        </is>
      </c>
      <c r="F5" s="56" t="inlineStr">
        <is>
          <t>Medium</t>
        </is>
      </c>
      <c r="G5" s="56" t="inlineStr">
        <is>
          <t>⬜ Not Started</t>
        </is>
      </c>
      <c r="H5" s="56" t="inlineStr"/>
      <c r="I5" s="55" t="inlineStr"/>
      <c r="J5" s="56" t="inlineStr"/>
    </row>
    <row r="6" ht="36" customHeight="1">
      <c r="A6" s="52" t="n">
        <v>4</v>
      </c>
      <c r="B6" s="54" t="inlineStr">
        <is>
          <t>Key-Value Store</t>
        </is>
      </c>
      <c r="C6" s="52" t="inlineStr">
        <is>
          <t>T1</t>
        </is>
      </c>
      <c r="D6" s="53" t="inlineStr">
        <is>
          <t>Systems</t>
        </is>
      </c>
      <c r="E6" s="57" t="inlineStr">
        <is>
          <t>LSM tree, WAL, compaction, consistency, replication, range queries</t>
        </is>
      </c>
      <c r="F6" s="58" t="inlineStr">
        <is>
          <t>Hard</t>
        </is>
      </c>
      <c r="G6" s="58" t="inlineStr">
        <is>
          <t>⬜ Not Started</t>
        </is>
      </c>
      <c r="H6" s="58" t="inlineStr"/>
      <c r="I6" s="57" t="inlineStr"/>
      <c r="J6" s="58" t="inlineStr"/>
    </row>
    <row r="7" ht="36" customHeight="1">
      <c r="A7" s="52" t="n">
        <v>5</v>
      </c>
      <c r="B7" s="54" t="inlineStr">
        <is>
          <t>Web Crawler</t>
        </is>
      </c>
      <c r="C7" s="52" t="inlineStr">
        <is>
          <t>T1</t>
        </is>
      </c>
      <c r="D7" s="53" t="inlineStr">
        <is>
          <t>Distributed</t>
        </is>
      </c>
      <c r="E7" s="55" t="inlineStr">
        <is>
          <t>BFS/DFS, politeness, dedup (Bloom filter), distributed frontier, robots.txt</t>
        </is>
      </c>
      <c r="F7" s="56" t="inlineStr">
        <is>
          <t>Hard</t>
        </is>
      </c>
      <c r="G7" s="56" t="inlineStr">
        <is>
          <t>⬜ Not Started</t>
        </is>
      </c>
      <c r="H7" s="56" t="inlineStr"/>
      <c r="I7" s="55" t="inlineStr"/>
      <c r="J7" s="56" t="inlineStr"/>
    </row>
    <row r="8" ht="36" customHeight="1">
      <c r="A8" s="52" t="n">
        <v>6</v>
      </c>
      <c r="B8" s="54" t="inlineStr">
        <is>
          <t>Distributed Cache</t>
        </is>
      </c>
      <c r="C8" s="52" t="inlineStr">
        <is>
          <t>T1</t>
        </is>
      </c>
      <c r="D8" s="53" t="inlineStr">
        <is>
          <t>Infra</t>
        </is>
      </c>
      <c r="E8" s="57" t="inlineStr">
        <is>
          <t>Consistent hashing, eviction (LRU), replication, cache coherence</t>
        </is>
      </c>
      <c r="F8" s="58" t="inlineStr">
        <is>
          <t>Hard</t>
        </is>
      </c>
      <c r="G8" s="58" t="inlineStr">
        <is>
          <t>⬜ Not Started</t>
        </is>
      </c>
      <c r="H8" s="58" t="inlineStr"/>
      <c r="I8" s="57" t="inlineStr"/>
      <c r="J8" s="58" t="inlineStr"/>
    </row>
    <row r="9" ht="36" customHeight="1">
      <c r="A9" s="52" t="n">
        <v>7</v>
      </c>
      <c r="B9" s="54" t="inlineStr">
        <is>
          <t>Leaderboard Service</t>
        </is>
      </c>
      <c r="C9" s="52" t="inlineStr">
        <is>
          <t>T1</t>
        </is>
      </c>
      <c r="D9" s="53" t="inlineStr">
        <is>
          <t>DB/Cache</t>
        </is>
      </c>
      <c r="E9" s="55" t="inlineStr">
        <is>
          <t>Redis sorted sets, real-time vs batch rank, top-K, pagination</t>
        </is>
      </c>
      <c r="F9" s="56" t="inlineStr">
        <is>
          <t>Medium</t>
        </is>
      </c>
      <c r="G9" s="56" t="inlineStr">
        <is>
          <t>⬜ Not Started</t>
        </is>
      </c>
      <c r="H9" s="56" t="inlineStr"/>
      <c r="I9" s="55" t="inlineStr"/>
      <c r="J9" s="56" t="inlineStr"/>
    </row>
    <row r="10" ht="36" customHeight="1">
      <c r="A10" s="52" t="n">
        <v>8</v>
      </c>
      <c r="B10" s="54" t="inlineStr">
        <is>
          <t>Distributed ID Generator</t>
        </is>
      </c>
      <c r="C10" s="52" t="inlineStr">
        <is>
          <t>T1</t>
        </is>
      </c>
      <c r="D10" s="53" t="inlineStr">
        <is>
          <t>Infra</t>
        </is>
      </c>
      <c r="E10" s="57" t="inlineStr">
        <is>
          <t>Snowflake (timestamp+machine+seq), sortable, no SPOF, 64-bit</t>
        </is>
      </c>
      <c r="F10" s="58" t="inlineStr">
        <is>
          <t>Medium</t>
        </is>
      </c>
      <c r="G10" s="58" t="inlineStr">
        <is>
          <t>⬜ Not Started</t>
        </is>
      </c>
      <c r="H10" s="58" t="inlineStr"/>
      <c r="I10" s="57" t="inlineStr"/>
      <c r="J10" s="58" t="inlineStr"/>
    </row>
    <row r="11" ht="36" customHeight="1">
      <c r="A11" s="92" t="n">
        <v>9</v>
      </c>
      <c r="B11" s="93" t="inlineStr">
        <is>
          <t>Twitter / Instagram Feed</t>
        </is>
      </c>
      <c r="C11" s="92" t="inlineStr">
        <is>
          <t>T2</t>
        </is>
      </c>
      <c r="D11" s="94" t="inlineStr">
        <is>
          <t>Social</t>
        </is>
      </c>
      <c r="E11" s="55" t="inlineStr">
        <is>
          <t>Fanout on write vs read, celebrity problem, sharding by user_id, timeline cache</t>
        </is>
      </c>
      <c r="F11" s="56" t="inlineStr">
        <is>
          <t>Hard</t>
        </is>
      </c>
      <c r="G11" s="56" t="inlineStr">
        <is>
          <t>⬜ Not Started</t>
        </is>
      </c>
      <c r="H11" s="56" t="inlineStr"/>
      <c r="I11" s="55" t="inlineStr"/>
      <c r="J11" s="56" t="inlineStr"/>
    </row>
    <row r="12" ht="36" customHeight="1">
      <c r="A12" s="92" t="n">
        <v>10</v>
      </c>
      <c r="B12" s="93" t="inlineStr">
        <is>
          <t>WhatsApp / Slack Chat</t>
        </is>
      </c>
      <c r="C12" s="92" t="inlineStr">
        <is>
          <t>T2</t>
        </is>
      </c>
      <c r="D12" s="94" t="inlineStr">
        <is>
          <t>Messaging</t>
        </is>
      </c>
      <c r="E12" s="57" t="inlineStr">
        <is>
          <t>WebSocket, message ordering, delivery receipts, group chat fan-out, media</t>
        </is>
      </c>
      <c r="F12" s="58" t="inlineStr">
        <is>
          <t>Hard</t>
        </is>
      </c>
      <c r="G12" s="58" t="inlineStr">
        <is>
          <t>⬜ Not Started</t>
        </is>
      </c>
      <c r="H12" s="58" t="inlineStr"/>
      <c r="I12" s="57" t="inlineStr"/>
      <c r="J12" s="58" t="inlineStr"/>
    </row>
    <row r="13" ht="36" customHeight="1">
      <c r="A13" s="92" t="n">
        <v>11</v>
      </c>
      <c r="B13" s="93" t="inlineStr">
        <is>
          <t>Notification System</t>
        </is>
      </c>
      <c r="C13" s="92" t="inlineStr">
        <is>
          <t>T2</t>
        </is>
      </c>
      <c r="D13" s="94" t="inlineStr">
        <is>
          <t>Async</t>
        </is>
      </c>
      <c r="E13" s="55" t="inlineStr">
        <is>
          <t>Kafka pipeline, push+email+SMS, priority queues, DLQ, deduplication, templates</t>
        </is>
      </c>
      <c r="F13" s="56" t="inlineStr">
        <is>
          <t>Hard</t>
        </is>
      </c>
      <c r="G13" s="56" t="inlineStr">
        <is>
          <t>⬜ Not Started</t>
        </is>
      </c>
      <c r="H13" s="56" t="inlineStr"/>
      <c r="I13" s="55" t="inlineStr"/>
      <c r="J13" s="56" t="inlineStr"/>
    </row>
    <row r="14" ht="36" customHeight="1">
      <c r="A14" s="92" t="n">
        <v>12</v>
      </c>
      <c r="B14" s="93" t="inlineStr">
        <is>
          <t>Search Autocomplete (Typeahead)</t>
        </is>
      </c>
      <c r="C14" s="92" t="inlineStr">
        <is>
          <t>T2</t>
        </is>
      </c>
      <c r="D14" s="94" t="inlineStr">
        <is>
          <t>Search</t>
        </is>
      </c>
      <c r="E14" s="57" t="inlineStr">
        <is>
          <t>Trie vs prefix search, Elasticsearch, caching, update frequency, ranking</t>
        </is>
      </c>
      <c r="F14" s="58" t="inlineStr">
        <is>
          <t>Hard</t>
        </is>
      </c>
      <c r="G14" s="58" t="inlineStr">
        <is>
          <t>⬜ Not Started</t>
        </is>
      </c>
      <c r="H14" s="58" t="inlineStr"/>
      <c r="I14" s="57" t="inlineStr"/>
      <c r="J14" s="58" t="inlineStr"/>
    </row>
    <row r="15" ht="36" customHeight="1">
      <c r="A15" s="92" t="n">
        <v>13</v>
      </c>
      <c r="B15" s="93" t="inlineStr">
        <is>
          <t>Yelp / Location-Based Search</t>
        </is>
      </c>
      <c r="C15" s="92" t="inlineStr">
        <is>
          <t>T2</t>
        </is>
      </c>
      <c r="D15" s="94" t="inlineStr">
        <is>
          <t>Geo</t>
        </is>
      </c>
      <c r="E15" s="55" t="inlineStr">
        <is>
          <t>Geohashing, quadtree, proximity search, read-heavy optimization, review system</t>
        </is>
      </c>
      <c r="F15" s="56" t="inlineStr">
        <is>
          <t>Hard</t>
        </is>
      </c>
      <c r="G15" s="56" t="inlineStr">
        <is>
          <t>⬜ Not Started</t>
        </is>
      </c>
      <c r="H15" s="56" t="inlineStr"/>
      <c r="I15" s="55" t="inlineStr"/>
      <c r="J15" s="56" t="inlineStr"/>
    </row>
    <row r="16" ht="36" customHeight="1">
      <c r="A16" s="92" t="n">
        <v>14</v>
      </c>
      <c r="B16" s="93" t="inlineStr">
        <is>
          <t>Reddit-style Forum</t>
        </is>
      </c>
      <c r="C16" s="92" t="inlineStr">
        <is>
          <t>T2</t>
        </is>
      </c>
      <c r="D16" s="94" t="inlineStr">
        <is>
          <t>Social/DB</t>
        </is>
      </c>
      <c r="E16" s="57" t="inlineStr">
        <is>
          <t>Voting (idempotency), ranking (Reddit hot formula), pagination, moderation</t>
        </is>
      </c>
      <c r="F16" s="58" t="inlineStr">
        <is>
          <t>Medium</t>
        </is>
      </c>
      <c r="G16" s="58" t="inlineStr">
        <is>
          <t>⬜ Not Started</t>
        </is>
      </c>
      <c r="H16" s="58" t="inlineStr"/>
      <c r="I16" s="57" t="inlineStr"/>
      <c r="J16" s="58" t="inlineStr"/>
    </row>
    <row r="17" ht="36" customHeight="1">
      <c r="A17" s="92" t="n">
        <v>15</v>
      </c>
      <c r="B17" s="93" t="inlineStr">
        <is>
          <t>File Upload Service</t>
        </is>
      </c>
      <c r="C17" s="92" t="inlineStr">
        <is>
          <t>T2</t>
        </is>
      </c>
      <c r="D17" s="94" t="inlineStr">
        <is>
          <t>Storage</t>
        </is>
      </c>
      <c r="E17" s="55" t="inlineStr">
        <is>
          <t>Chunked upload, S3 multipart, resumable upload, CDN for delivery, virus scan</t>
        </is>
      </c>
      <c r="F17" s="56" t="inlineStr">
        <is>
          <t>Medium</t>
        </is>
      </c>
      <c r="G17" s="56" t="inlineStr">
        <is>
          <t>⬜ Not Started</t>
        </is>
      </c>
      <c r="H17" s="56" t="inlineStr"/>
      <c r="I17" s="55" t="inlineStr"/>
      <c r="J17" s="56" t="inlineStr"/>
    </row>
    <row r="18" ht="36" customHeight="1">
      <c r="A18" s="92" t="n">
        <v>16</v>
      </c>
      <c r="B18" s="93" t="inlineStr">
        <is>
          <t>Online Judge (LeetCode-lite)</t>
        </is>
      </c>
      <c r="C18" s="92" t="inlineStr">
        <is>
          <t>T2</t>
        </is>
      </c>
      <c r="D18" s="94" t="inlineStr">
        <is>
          <t>Systems</t>
        </is>
      </c>
      <c r="E18" s="57" t="inlineStr">
        <is>
          <t>Code execution sandbox, containers, resource limits, queue for jobs, result storage</t>
        </is>
      </c>
      <c r="F18" s="58" t="inlineStr">
        <is>
          <t>Hard</t>
        </is>
      </c>
      <c r="G18" s="58" t="inlineStr">
        <is>
          <t>⬜ Not Started</t>
        </is>
      </c>
      <c r="H18" s="58" t="inlineStr"/>
      <c r="I18" s="57" t="inlineStr"/>
      <c r="J18" s="58" t="inlineStr"/>
    </row>
    <row r="19" ht="36" customHeight="1">
      <c r="A19" s="59" t="n">
        <v>17</v>
      </c>
      <c r="B19" s="61" t="inlineStr">
        <is>
          <t>YouTube / Netflix Streaming</t>
        </is>
      </c>
      <c r="C19" s="59" t="inlineStr">
        <is>
          <t>T3</t>
        </is>
      </c>
      <c r="D19" s="60" t="inlineStr">
        <is>
          <t>Video</t>
        </is>
      </c>
      <c r="E19" s="55" t="inlineStr">
        <is>
          <t>Video encoding (HLS/DASH), CDN, adaptive bitrate, recommendation, storage</t>
        </is>
      </c>
      <c r="F19" s="56" t="inlineStr">
        <is>
          <t>Hard</t>
        </is>
      </c>
      <c r="G19" s="56" t="inlineStr">
        <is>
          <t>⬜ Not Started</t>
        </is>
      </c>
      <c r="H19" s="56" t="inlineStr"/>
      <c r="I19" s="55" t="inlineStr"/>
      <c r="J19" s="56" t="inlineStr"/>
    </row>
    <row r="20" ht="36" customHeight="1">
      <c r="A20" s="59" t="n">
        <v>18</v>
      </c>
      <c r="B20" s="61" t="inlineStr">
        <is>
          <t>Uber / Lyft Ride Sharing</t>
        </is>
      </c>
      <c r="C20" s="59" t="inlineStr">
        <is>
          <t>T3</t>
        </is>
      </c>
      <c r="D20" s="60" t="inlineStr">
        <is>
          <t>Geo/RT</t>
        </is>
      </c>
      <c r="E20" s="57" t="inlineStr">
        <is>
          <t>Location tracking, matching algorithm, geohashing, dynamic pricing, driver state</t>
        </is>
      </c>
      <c r="F20" s="58" t="inlineStr">
        <is>
          <t>Hard</t>
        </is>
      </c>
      <c r="G20" s="58" t="inlineStr">
        <is>
          <t>⬜ Not Started</t>
        </is>
      </c>
      <c r="H20" s="58" t="inlineStr"/>
      <c r="I20" s="57" t="inlineStr"/>
      <c r="J20" s="58" t="inlineStr"/>
    </row>
    <row r="21" ht="36" customHeight="1">
      <c r="A21" s="59" t="n">
        <v>19</v>
      </c>
      <c r="B21" s="61" t="inlineStr">
        <is>
          <t>DoorDash / Swiggy Delivery</t>
        </is>
      </c>
      <c r="C21" s="59" t="inlineStr">
        <is>
          <t>T3</t>
        </is>
      </c>
      <c r="D21" s="60" t="inlineStr">
        <is>
          <t>Logistics</t>
        </is>
      </c>
      <c r="E21" s="55" t="inlineStr">
        <is>
          <t>ETA estimation, driver assignment, order lifecycle, real-time tracking</t>
        </is>
      </c>
      <c r="F21" s="56" t="inlineStr">
        <is>
          <t>Hard</t>
        </is>
      </c>
      <c r="G21" s="56" t="inlineStr">
        <is>
          <t>⬜ Not Started</t>
        </is>
      </c>
      <c r="H21" s="56" t="inlineStr"/>
      <c r="I21" s="55" t="inlineStr"/>
      <c r="J21" s="56" t="inlineStr"/>
    </row>
    <row r="22" ht="36" customHeight="1">
      <c r="A22" s="59" t="n">
        <v>20</v>
      </c>
      <c r="B22" s="61" t="inlineStr">
        <is>
          <t>Dropbox / Google Drive Sync</t>
        </is>
      </c>
      <c r="C22" s="59" t="inlineStr">
        <is>
          <t>T3</t>
        </is>
      </c>
      <c r="D22" s="60" t="inlineStr">
        <is>
          <t>Storage</t>
        </is>
      </c>
      <c r="E22" s="57" t="inlineStr">
        <is>
          <t>Block storage, delta sync, conflict resolution, file versioning, sharing</t>
        </is>
      </c>
      <c r="F22" s="58" t="inlineStr">
        <is>
          <t>Hard</t>
        </is>
      </c>
      <c r="G22" s="58" t="inlineStr">
        <is>
          <t>⬜ Not Started</t>
        </is>
      </c>
      <c r="H22" s="58" t="inlineStr"/>
      <c r="I22" s="57" t="inlineStr"/>
      <c r="J22" s="58" t="inlineStr"/>
    </row>
    <row r="23" ht="36" customHeight="1">
      <c r="A23" s="59" t="n">
        <v>21</v>
      </c>
      <c r="B23" s="61" t="inlineStr">
        <is>
          <t>Google Docs Collaborative Edit</t>
        </is>
      </c>
      <c r="C23" s="59" t="inlineStr">
        <is>
          <t>T3</t>
        </is>
      </c>
      <c r="D23" s="60" t="inlineStr">
        <is>
          <t>Collab</t>
        </is>
      </c>
      <c r="E23" s="55" t="inlineStr">
        <is>
          <t>OT (operational transformation) or CRDT, real-time sync, version history</t>
        </is>
      </c>
      <c r="F23" s="56" t="inlineStr">
        <is>
          <t>Hard</t>
        </is>
      </c>
      <c r="G23" s="56" t="inlineStr">
        <is>
          <t>⬜ Not Started</t>
        </is>
      </c>
      <c r="H23" s="56" t="inlineStr"/>
      <c r="I23" s="55" t="inlineStr"/>
      <c r="J23" s="56" t="inlineStr"/>
    </row>
    <row r="24" ht="36" customHeight="1">
      <c r="A24" s="59" t="n">
        <v>22</v>
      </c>
      <c r="B24" s="61" t="inlineStr">
        <is>
          <t>Zoom / Video Conferencing</t>
        </is>
      </c>
      <c r="C24" s="59" t="inlineStr">
        <is>
          <t>T3</t>
        </is>
      </c>
      <c r="D24" s="60" t="inlineStr">
        <is>
          <t>Video/RT</t>
        </is>
      </c>
      <c r="E24" s="57" t="inlineStr">
        <is>
          <t>WebRTC, SFU vs MCU, adaptive bitrate, screen share, recording</t>
        </is>
      </c>
      <c r="F24" s="58" t="inlineStr">
        <is>
          <t>Hard</t>
        </is>
      </c>
      <c r="G24" s="58" t="inlineStr">
        <is>
          <t>⬜ Not Started</t>
        </is>
      </c>
      <c r="H24" s="58" t="inlineStr"/>
      <c r="I24" s="57" t="inlineStr"/>
      <c r="J24" s="58" t="inlineStr"/>
    </row>
    <row r="25" ht="36" customHeight="1">
      <c r="A25" s="59" t="n">
        <v>23</v>
      </c>
      <c r="B25" s="61" t="inlineStr">
        <is>
          <t>Spotify Music Streaming</t>
        </is>
      </c>
      <c r="C25" s="59" t="inlineStr">
        <is>
          <t>T3</t>
        </is>
      </c>
      <c r="D25" s="60" t="inlineStr">
        <is>
          <t>Streaming</t>
        </is>
      </c>
      <c r="E25" s="55" t="inlineStr">
        <is>
          <t>Audio encoding, CDN, playlist management, offline sync, recommendation</t>
        </is>
      </c>
      <c r="F25" s="56" t="inlineStr">
        <is>
          <t>Hard</t>
        </is>
      </c>
      <c r="G25" s="56" t="inlineStr">
        <is>
          <t>⬜ Not Started</t>
        </is>
      </c>
      <c r="H25" s="56" t="inlineStr"/>
      <c r="I25" s="55" t="inlineStr"/>
      <c r="J25" s="56" t="inlineStr"/>
    </row>
    <row r="26" ht="36" customHeight="1">
      <c r="A26" s="59" t="n">
        <v>24</v>
      </c>
      <c r="B26" s="61" t="inlineStr">
        <is>
          <t>Airbnb Booking System</t>
        </is>
      </c>
      <c r="C26" s="59" t="inlineStr">
        <is>
          <t>T3</t>
        </is>
      </c>
      <c r="D26" s="60" t="inlineStr">
        <is>
          <t>Booking</t>
        </is>
      </c>
      <c r="E26" s="57" t="inlineStr">
        <is>
          <t>Availability calendar, double-booking prevention, payment escrow, search</t>
        </is>
      </c>
      <c r="F26" s="58" t="inlineStr">
        <is>
          <t>Hard</t>
        </is>
      </c>
      <c r="G26" s="58" t="inlineStr">
        <is>
          <t>⬜ Not Started</t>
        </is>
      </c>
      <c r="H26" s="58" t="inlineStr"/>
      <c r="I26" s="57" t="inlineStr"/>
      <c r="J26" s="58" t="inlineStr"/>
    </row>
    <row r="27" ht="36" customHeight="1">
      <c r="A27" s="59" t="n">
        <v>25</v>
      </c>
      <c r="B27" s="61" t="inlineStr">
        <is>
          <t>Stock Exchange Platform</t>
        </is>
      </c>
      <c r="C27" s="59" t="inlineStr">
        <is>
          <t>T3</t>
        </is>
      </c>
      <c r="D27" s="60" t="inlineStr">
        <is>
          <t>Finance</t>
        </is>
      </c>
      <c r="E27" s="55" t="inlineStr">
        <is>
          <t>Order book, matching engine, low latency, ACID transactions, market data feed</t>
        </is>
      </c>
      <c r="F27" s="56" t="inlineStr">
        <is>
          <t>Hard</t>
        </is>
      </c>
      <c r="G27" s="56" t="inlineStr">
        <is>
          <t>⬜ Not Started</t>
        </is>
      </c>
      <c r="H27" s="56" t="inlineStr"/>
      <c r="I27" s="55" t="inlineStr"/>
      <c r="J27" s="56" t="inlineStr"/>
    </row>
    <row r="28" ht="36" customHeight="1">
      <c r="A28" s="59" t="n">
        <v>26</v>
      </c>
      <c r="B28" s="61" t="inlineStr">
        <is>
          <t>Distributed Task Scheduler</t>
        </is>
      </c>
      <c r="C28" s="59" t="inlineStr">
        <is>
          <t>T3</t>
        </is>
      </c>
      <c r="D28" s="60" t="inlineStr">
        <is>
          <t>Infra</t>
        </is>
      </c>
      <c r="E28" s="57" t="inlineStr">
        <is>
          <t>Job scheduling, distributed lock, at-least-once execution, cron, priority</t>
        </is>
      </c>
      <c r="F28" s="58" t="inlineStr">
        <is>
          <t>Hard</t>
        </is>
      </c>
      <c r="G28" s="58" t="inlineStr">
        <is>
          <t>⬜ Not Started</t>
        </is>
      </c>
      <c r="H28" s="58" t="inlineStr"/>
      <c r="I28" s="57" t="inlineStr"/>
      <c r="J28" s="58" t="inlineStr"/>
    </row>
    <row r="29" ht="36" customHeight="1">
      <c r="A29" s="59" t="n">
        <v>27</v>
      </c>
      <c r="B29" s="61" t="inlineStr">
        <is>
          <t>Search Engine</t>
        </is>
      </c>
      <c r="C29" s="59" t="inlineStr">
        <is>
          <t>T3</t>
        </is>
      </c>
      <c r="D29" s="60" t="inlineStr">
        <is>
          <t>Search</t>
        </is>
      </c>
      <c r="E29" s="55" t="inlineStr">
        <is>
          <t>Crawler, inverted index, ranking (TF-IDF, PageRank), indexing pipeline</t>
        </is>
      </c>
      <c r="F29" s="56" t="inlineStr">
        <is>
          <t>Hard</t>
        </is>
      </c>
      <c r="G29" s="56" t="inlineStr">
        <is>
          <t>⬜ Not Started</t>
        </is>
      </c>
      <c r="H29" s="56" t="inlineStr"/>
      <c r="I29" s="55" t="inlineStr"/>
      <c r="J29" s="56" t="inlineStr"/>
    </row>
    <row r="30" ht="36" customHeight="1">
      <c r="A30" s="59" t="n">
        <v>28</v>
      </c>
      <c r="B30" s="61" t="inlineStr">
        <is>
          <t>Ad Serving System</t>
        </is>
      </c>
      <c r="C30" s="59" t="inlineStr">
        <is>
          <t>T3</t>
        </is>
      </c>
      <c r="D30" s="60" t="inlineStr">
        <is>
          <t>Ads</t>
        </is>
      </c>
      <c r="E30" s="57" t="inlineStr">
        <is>
          <t>Real-time bidding, targeting, frequency capping, impression tracking, budget pacing</t>
        </is>
      </c>
      <c r="F30" s="58" t="inlineStr">
        <is>
          <t>Hard</t>
        </is>
      </c>
      <c r="G30" s="58" t="inlineStr">
        <is>
          <t>⬜ Not Started</t>
        </is>
      </c>
      <c r="H30" s="58" t="inlineStr"/>
      <c r="I30" s="57" t="inlineStr"/>
      <c r="J30" s="58" t="inlineStr"/>
    </row>
    <row r="31" ht="36" customHeight="1">
      <c r="A31" s="59" t="n">
        <v>29</v>
      </c>
      <c r="B31" s="61" t="inlineStr">
        <is>
          <t>Recommendation System</t>
        </is>
      </c>
      <c r="C31" s="59" t="inlineStr">
        <is>
          <t>T3</t>
        </is>
      </c>
      <c r="D31" s="60" t="inlineStr">
        <is>
          <t>ML+Sys</t>
        </is>
      </c>
      <c r="E31" s="55" t="inlineStr">
        <is>
          <t>Collaborative filtering, feature store, online vs batch, A/B testing, feedback loop</t>
        </is>
      </c>
      <c r="F31" s="56" t="inlineStr">
        <is>
          <t>Hard</t>
        </is>
      </c>
      <c r="G31" s="56" t="inlineStr">
        <is>
          <t>⬜ Not Started</t>
        </is>
      </c>
      <c r="H31" s="56" t="inlineStr"/>
      <c r="I31" s="55" t="inlineStr"/>
      <c r="J31" s="56" t="inlineStr"/>
    </row>
    <row r="32" ht="36" customHeight="1">
      <c r="A32" s="59" t="n">
        <v>30</v>
      </c>
      <c r="B32" s="61" t="inlineStr">
        <is>
          <t>Payment System (Stripe-like)</t>
        </is>
      </c>
      <c r="C32" s="59" t="inlineStr">
        <is>
          <t>T3</t>
        </is>
      </c>
      <c r="D32" s="60" t="inlineStr">
        <is>
          <t>Finance</t>
        </is>
      </c>
      <c r="E32" s="57" t="inlineStr">
        <is>
          <t>Idempotency, double charge prevention, webhooks, reconciliation, PCI compliance</t>
        </is>
      </c>
      <c r="F32" s="58" t="inlineStr">
        <is>
          <t>Hard</t>
        </is>
      </c>
      <c r="G32" s="58" t="inlineStr">
        <is>
          <t>⬜ Not Started</t>
        </is>
      </c>
      <c r="H32" s="58" t="inlineStr"/>
      <c r="I32" s="57" t="inlineStr"/>
      <c r="J32" s="58" t="inlineStr"/>
    </row>
    <row r="33" ht="36" customHeight="1">
      <c r="A33" s="62" t="n">
        <v>31</v>
      </c>
      <c r="B33" s="64" t="inlineStr">
        <is>
          <t>Distributed Model Training</t>
        </is>
      </c>
      <c r="C33" s="62" t="inlineStr">
        <is>
          <t>T4</t>
        </is>
      </c>
      <c r="D33" s="63" t="inlineStr">
        <is>
          <t>ML Infra</t>
        </is>
      </c>
      <c r="E33" s="55" t="inlineStr">
        <is>
          <t>Data parallelism, model parallelism, gradient sync, checkpoint, fault tolerance</t>
        </is>
      </c>
      <c r="F33" s="56" t="inlineStr">
        <is>
          <t>Hard</t>
        </is>
      </c>
      <c r="G33" s="56" t="inlineStr">
        <is>
          <t>⬜ Not Started</t>
        </is>
      </c>
      <c r="H33" s="56" t="inlineStr"/>
      <c r="I33" s="55" t="inlineStr"/>
      <c r="J33" s="56" t="inlineStr"/>
    </row>
    <row r="34" ht="36" customHeight="1">
      <c r="A34" s="62" t="n">
        <v>32</v>
      </c>
      <c r="B34" s="64" t="inlineStr">
        <is>
          <t>Feature Store</t>
        </is>
      </c>
      <c r="C34" s="62" t="inlineStr">
        <is>
          <t>T4</t>
        </is>
      </c>
      <c r="D34" s="63" t="inlineStr">
        <is>
          <t>ML Infra</t>
        </is>
      </c>
      <c r="E34" s="57" t="inlineStr">
        <is>
          <t>Online vs offline store, feature freshness, point-in-time correctness, Feast</t>
        </is>
      </c>
      <c r="F34" s="58" t="inlineStr">
        <is>
          <t>Hard</t>
        </is>
      </c>
      <c r="G34" s="58" t="inlineStr">
        <is>
          <t>⬜ Not Started</t>
        </is>
      </c>
      <c r="H34" s="58" t="inlineStr"/>
      <c r="I34" s="57" t="inlineStr"/>
      <c r="J34" s="58" t="inlineStr"/>
    </row>
    <row r="35" ht="36" customHeight="1">
      <c r="A35" s="62" t="n">
        <v>33</v>
      </c>
      <c r="B35" s="64" t="inlineStr">
        <is>
          <t>A/B Testing Platform</t>
        </is>
      </c>
      <c r="C35" s="62" t="inlineStr">
        <is>
          <t>T4</t>
        </is>
      </c>
      <c r="D35" s="63" t="inlineStr">
        <is>
          <t>Data</t>
        </is>
      </c>
      <c r="E35" s="55" t="inlineStr">
        <is>
          <t>Experiment assignment, statistical significance, holdout groups, metrics pipeline</t>
        </is>
      </c>
      <c r="F35" s="56" t="inlineStr">
        <is>
          <t>Hard</t>
        </is>
      </c>
      <c r="G35" s="56" t="inlineStr">
        <is>
          <t>⬜ Not Started</t>
        </is>
      </c>
      <c r="H35" s="56" t="inlineStr"/>
      <c r="I35" s="55" t="inlineStr"/>
      <c r="J35" s="56" t="inlineStr"/>
    </row>
    <row r="36" ht="36" customHeight="1">
      <c r="A36" s="62" t="n">
        <v>34</v>
      </c>
      <c r="B36" s="64" t="inlineStr">
        <is>
          <t>Real-Time Bidding</t>
        </is>
      </c>
      <c r="C36" s="62" t="inlineStr">
        <is>
          <t>T4</t>
        </is>
      </c>
      <c r="D36" s="63" t="inlineStr">
        <is>
          <t>Ads</t>
        </is>
      </c>
      <c r="E36" s="57" t="inlineStr">
        <is>
          <t>&lt; 100ms latency, DSP/SSP, bid shading, auction mechanics, targeting at scale</t>
        </is>
      </c>
      <c r="F36" s="58" t="inlineStr">
        <is>
          <t>Hard</t>
        </is>
      </c>
      <c r="G36" s="58" t="inlineStr">
        <is>
          <t>⬜ Not Started</t>
        </is>
      </c>
      <c r="H36" s="58" t="inlineStr"/>
      <c r="I36" s="57" t="inlineStr"/>
      <c r="J36" s="58" t="inlineStr"/>
    </row>
    <row r="37" ht="36" customHeight="1">
      <c r="A37" s="62" t="n">
        <v>35</v>
      </c>
      <c r="B37" s="64" t="inlineStr">
        <is>
          <t>Vector Search at Scale</t>
        </is>
      </c>
      <c r="C37" s="62" t="inlineStr">
        <is>
          <t>T4</t>
        </is>
      </c>
      <c r="D37" s="63" t="inlineStr">
        <is>
          <t>ML+Search</t>
        </is>
      </c>
      <c r="E37" s="55" t="inlineStr">
        <is>
          <t>ANN algorithms (HNSW, IVF), pgvector, Pinecone, embedding freshness</t>
        </is>
      </c>
      <c r="F37" s="56" t="inlineStr">
        <is>
          <t>Hard</t>
        </is>
      </c>
      <c r="G37" s="56" t="inlineStr">
        <is>
          <t>⬜ Not Started</t>
        </is>
      </c>
      <c r="H37" s="56" t="inlineStr"/>
      <c r="I37" s="55" t="inlineStr"/>
      <c r="J37" s="56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40" customWidth="1" min="4" max="4"/>
    <col width="14" customWidth="1" min="5" max="5"/>
    <col width="18" customWidth="1" min="6" max="6"/>
    <col width="16" customWidth="1" min="7" max="7"/>
    <col width="32" customWidth="1" min="8" max="8"/>
  </cols>
  <sheetData>
    <row r="1" ht="36" customHeight="1">
      <c r="A1" s="95" t="inlineStr">
        <is>
          <t>⭐ SDE2 EXTRAS — Topics Not in Original PDF but Required for SDE2 Level</t>
        </is>
      </c>
    </row>
    <row r="2">
      <c r="A2" s="96" t="inlineStr">
        <is>
          <t>Integrate these throughout your 6 months — don't do them all at once. See 'When to do' column.</t>
        </is>
      </c>
    </row>
    <row r="3" ht="28" customHeight="1">
      <c r="A3" s="97" t="inlineStr">
        <is>
          <t>#</t>
        </is>
      </c>
      <c r="B3" s="97" t="inlineStr">
        <is>
          <t>Topic</t>
        </is>
      </c>
      <c r="C3" s="97" t="inlineStr">
        <is>
          <t>Why SDE2 Needs It</t>
        </is>
      </c>
      <c r="D3" s="97" t="inlineStr">
        <is>
          <t>Resources (Free)</t>
        </is>
      </c>
      <c r="E3" s="97" t="inlineStr">
        <is>
          <t>Weekly Time</t>
        </is>
      </c>
      <c r="F3" s="97" t="inlineStr">
        <is>
          <t>When to Start</t>
        </is>
      </c>
      <c r="G3" s="97" t="inlineStr">
        <is>
          <t>Status</t>
        </is>
      </c>
      <c r="H3" s="97" t="inlineStr">
        <is>
          <t>Notes</t>
        </is>
      </c>
    </row>
    <row r="4" ht="44" customHeight="1">
      <c r="A4" s="56" t="n">
        <v>1</v>
      </c>
      <c r="B4" s="98" t="inlineStr">
        <is>
          <t>Low-Level Design (LLD)</t>
        </is>
      </c>
      <c r="C4" s="55" t="inlineStr">
        <is>
          <t>SDE2 interviews: design classes, DB schema, API contracts for specific systems in 45 min</t>
        </is>
      </c>
      <c r="D4" s="55" t="inlineStr">
        <is>
          <t>Grokking OO Design (GitHub free) + refactoring.guru</t>
        </is>
      </c>
      <c r="E4" s="56" t="inlineStr">
        <is>
          <t>3–4 hrs</t>
        </is>
      </c>
      <c r="F4" s="56" t="inlineStr">
        <is>
          <t>Month 1 Week 2</t>
        </is>
      </c>
      <c r="G4" s="56" t="inlineStr">
        <is>
          <t>⬜ Not Started</t>
        </is>
      </c>
      <c r="H4" s="55" t="inlineStr">
        <is>
          <t>Parking Lot, Library, Snake Game, ATM, Elevator</t>
        </is>
      </c>
    </row>
    <row r="5" ht="44" customHeight="1">
      <c r="A5" s="58" t="n">
        <v>2</v>
      </c>
      <c r="B5" s="99" t="inlineStr">
        <is>
          <t>LeetCode Medium/Hard Coding</t>
        </is>
      </c>
      <c r="C5" s="57" t="inlineStr">
        <is>
          <t>SDE2 coding rounds: 2 medium or 1 hard in 45 min. 150+ mediums required.</t>
        </is>
      </c>
      <c r="D5" s="57" t="inlineStr">
        <is>
          <t>LeetCode (free tier) + NeetCode 150 roadmap</t>
        </is>
      </c>
      <c r="E5" s="58" t="inlineStr">
        <is>
          <t>5–7 hrs</t>
        </is>
      </c>
      <c r="F5" s="58" t="inlineStr">
        <is>
          <t>Month 1 onwards daily</t>
        </is>
      </c>
      <c r="G5" s="58" t="inlineStr">
        <is>
          <t>⬜ Not Started</t>
        </is>
      </c>
      <c r="H5" s="57" t="inlineStr">
        <is>
          <t>Track: Arrays, DP, Graphs, Trees, Sliding Window</t>
        </is>
      </c>
    </row>
    <row r="6" ht="44" customHeight="1">
      <c r="A6" s="56" t="n">
        <v>3</v>
      </c>
      <c r="B6" s="98" t="inlineStr">
        <is>
          <t>Back-of-Envelope Estimation</t>
        </is>
      </c>
      <c r="C6" s="55" t="inlineStr">
        <is>
          <t>Every system design interview starts with estimation. QPS, storage, bandwidth, RAM.</t>
        </is>
      </c>
      <c r="D6" s="55" t="inlineStr">
        <is>
          <t>System Design Primer GitHub + Numbers Every Engineer Should Know</t>
        </is>
      </c>
      <c r="E6" s="56" t="inlineStr">
        <is>
          <t>1 hr/week</t>
        </is>
      </c>
      <c r="F6" s="56" t="inlineStr">
        <is>
          <t>Month 2</t>
        </is>
      </c>
      <c r="G6" s="56" t="inlineStr">
        <is>
          <t>⬜ Not Started</t>
        </is>
      </c>
      <c r="H6" s="55" t="inlineStr">
        <is>
          <t>Practice: Twitter, YouTube, WhatsApp estimates</t>
        </is>
      </c>
    </row>
    <row r="7" ht="44" customHeight="1">
      <c r="A7" s="58" t="n">
        <v>4</v>
      </c>
      <c r="B7" s="99" t="inlineStr">
        <is>
          <t>Behavioral / Leadership Principles</t>
        </is>
      </c>
      <c r="C7" s="57" t="inlineStr">
        <is>
          <t>SDE2 = leadership signals. STAR method, ownership, conflict resolution, mentoring.</t>
        </is>
      </c>
      <c r="D7" s="57" t="inlineStr">
        <is>
          <t>Amazon Leadership Principles guide + Grokking Behavioral Interview</t>
        </is>
      </c>
      <c r="E7" s="58" t="inlineStr">
        <is>
          <t>1–2 hrs/week</t>
        </is>
      </c>
      <c r="F7" s="58" t="inlineStr">
        <is>
          <t>Month 3</t>
        </is>
      </c>
      <c r="G7" s="58" t="inlineStr">
        <is>
          <t>⬜ Not Started</t>
        </is>
      </c>
      <c r="H7" s="57" t="inlineStr">
        <is>
          <t>Prepare 15 STAR stories. One per LP.</t>
        </is>
      </c>
    </row>
    <row r="8" ht="44" customHeight="1">
      <c r="A8" s="56" t="n">
        <v>5</v>
      </c>
      <c r="B8" s="98" t="inlineStr">
        <is>
          <t>System Design Mock Interviews</t>
        </is>
      </c>
      <c r="C8" s="55" t="inlineStr">
        <is>
          <t>Practice makes perfect. Weekly mock with AI (Claude/ChatGPT) or peer.</t>
        </is>
      </c>
      <c r="D8" s="55" t="inlineStr">
        <is>
          <t>Claude/ChatGPT as mock interviewer + HelloInterview free tier</t>
        </is>
      </c>
      <c r="E8" s="56" t="inlineStr">
        <is>
          <t>2 hrs/week</t>
        </is>
      </c>
      <c r="F8" s="56" t="inlineStr">
        <is>
          <t>Month 3</t>
        </is>
      </c>
      <c r="G8" s="56" t="inlineStr">
        <is>
          <t>⬜ Not Started</t>
        </is>
      </c>
      <c r="H8" s="55" t="inlineStr">
        <is>
          <t>Time yourself: 45 min per problem</t>
        </is>
      </c>
    </row>
    <row r="9" ht="44" customHeight="1">
      <c r="A9" s="58" t="n">
        <v>6</v>
      </c>
      <c r="B9" s="99" t="inlineStr">
        <is>
          <t>Reading OSS Code</t>
        </is>
      </c>
      <c r="C9" s="57" t="inlineStr">
        <is>
          <t>SDE2 reads codebases. Understand Redis, Kafka, PostgreSQL internals.</t>
        </is>
      </c>
      <c r="D9" s="57" t="inlineStr">
        <is>
          <t>DeepWiki.com (free) + GitHub source code</t>
        </is>
      </c>
      <c r="E9" s="58" t="inlineStr">
        <is>
          <t>1–2 hrs/week</t>
        </is>
      </c>
      <c r="F9" s="58" t="inlineStr">
        <is>
          <t>Month 4</t>
        </is>
      </c>
      <c r="G9" s="58" t="inlineStr">
        <is>
          <t>⬜ Not Started</t>
        </is>
      </c>
      <c r="H9" s="57" t="inlineStr">
        <is>
          <t>Start with Redis src/t_string.c</t>
        </is>
      </c>
    </row>
    <row r="10" ht="44" customHeight="1">
      <c r="A10" s="56" t="n">
        <v>7</v>
      </c>
      <c r="B10" s="98" t="inlineStr">
        <is>
          <t>Production Incident Reports</t>
        </is>
      </c>
      <c r="C10" s="55" t="inlineStr">
        <is>
          <t>Learn from real outages. DynamoDB 2012, Cloudflare 2019, GitHub 2018.</t>
        </is>
      </c>
      <c r="D10" s="55" t="inlineStr">
        <is>
          <t>postmortems.org + AWS service health history + Cloudflare blog</t>
        </is>
      </c>
      <c r="E10" s="56" t="inlineStr">
        <is>
          <t>1 hr/week</t>
        </is>
      </c>
      <c r="F10" s="56" t="inlineStr">
        <is>
          <t>Month 4</t>
        </is>
      </c>
      <c r="G10" s="56" t="inlineStr">
        <is>
          <t>⬜ Not Started</t>
        </is>
      </c>
      <c r="H10" s="55" t="inlineStr">
        <is>
          <t>Write 1-page takeaways for each incident</t>
        </is>
      </c>
    </row>
    <row r="11" ht="44" customHeight="1">
      <c r="A11" s="58" t="n">
        <v>8</v>
      </c>
      <c r="B11" s="99" t="inlineStr">
        <is>
          <t>API Design Reviews</t>
        </is>
      </c>
      <c r="C11" s="57" t="inlineStr">
        <is>
          <t>SDE2 reviews PRs. Learn to give and receive API design feedback.</t>
        </is>
      </c>
      <c r="D11" s="57" t="inlineStr">
        <is>
          <t>Google API Design Guide + Stripe API changelog</t>
        </is>
      </c>
      <c r="E11" s="58" t="inlineStr">
        <is>
          <t>1 hr/week</t>
        </is>
      </c>
      <c r="F11" s="58" t="inlineStr">
        <is>
          <t>Month 2</t>
        </is>
      </c>
      <c r="G11" s="58" t="inlineStr">
        <is>
          <t>⬜ Not Started</t>
        </is>
      </c>
      <c r="H11" s="57" t="inlineStr">
        <is>
          <t>Review your own APIs with the guide checklist</t>
        </is>
      </c>
    </row>
    <row r="12" ht="44" customHeight="1">
      <c r="A12" s="56" t="n">
        <v>9</v>
      </c>
      <c r="B12" s="98" t="inlineStr">
        <is>
          <t>Writing Technical Documents</t>
        </is>
      </c>
      <c r="C12" s="55" t="inlineStr">
        <is>
          <t>SDE2 writes design docs, ADRs, RFCs. Communication is half the job.</t>
        </is>
      </c>
      <c r="D12" s="55" t="inlineStr">
        <is>
          <t>Google design doc templates (free) + adr.github.io</t>
        </is>
      </c>
      <c r="E12" s="56" t="inlineStr">
        <is>
          <t>1 hr/week</t>
        </is>
      </c>
      <c r="F12" s="56" t="inlineStr">
        <is>
          <t>Month 3</t>
        </is>
      </c>
      <c r="G12" s="56" t="inlineStr">
        <is>
          <t>⬜ Not Started</t>
        </is>
      </c>
      <c r="H12" s="55" t="inlineStr">
        <is>
          <t>Write 1 design doc per major project</t>
        </is>
      </c>
    </row>
    <row r="13" ht="44" customHeight="1">
      <c r="A13" s="58" t="n">
        <v>10</v>
      </c>
      <c r="B13" s="99" t="inlineStr">
        <is>
          <t>Open Source Contribution</t>
        </is>
      </c>
      <c r="C13" s="57" t="inlineStr">
        <is>
          <t>Real SDE2 skill: reading unfamiliar codebases, submitting PRs, code review.</t>
        </is>
      </c>
      <c r="D13" s="57" t="inlineStr">
        <is>
          <t>firstcontributions.github.io + good-first-issue.com</t>
        </is>
      </c>
      <c r="E13" s="58" t="inlineStr">
        <is>
          <t>2 hrs/week</t>
        </is>
      </c>
      <c r="F13" s="58" t="inlineStr">
        <is>
          <t>Month 5</t>
        </is>
      </c>
      <c r="G13" s="58" t="inlineStr">
        <is>
          <t>⬜ Not Started</t>
        </is>
      </c>
      <c r="H13" s="57" t="inlineStr">
        <is>
          <t>Target: 2 merged PRs before interviews</t>
        </is>
      </c>
    </row>
    <row r="14" ht="44" customHeight="1">
      <c r="A14" s="56" t="n">
        <v>11</v>
      </c>
      <c r="B14" s="98" t="inlineStr">
        <is>
          <t>Database Internals Deep Dive</t>
        </is>
      </c>
      <c r="C14" s="55" t="inlineStr">
        <is>
          <t>SDE2 interviews sometimes go deep into B-tree, WAL, MVCC internals.</t>
        </is>
      </c>
      <c r="D14" s="55" t="inlineStr">
        <is>
          <t>Database Internals by Alex Petrov (free chapters)</t>
        </is>
      </c>
      <c r="E14" s="56" t="inlineStr">
        <is>
          <t>2 hrs/week</t>
        </is>
      </c>
      <c r="F14" s="56" t="inlineStr">
        <is>
          <t>Month 2</t>
        </is>
      </c>
      <c r="G14" s="56" t="inlineStr">
        <is>
          <t>⬜ Not Started</t>
        </is>
      </c>
      <c r="H14" s="55" t="inlineStr">
        <is>
          <t>Chapters 2–5 cover B-tree and LSM internals</t>
        </is>
      </c>
    </row>
    <row r="15" ht="44" customHeight="1">
      <c r="A15" s="58" t="n">
        <v>12</v>
      </c>
      <c r="B15" s="99" t="inlineStr">
        <is>
          <t>Networking Wireshark Labs</t>
        </is>
      </c>
      <c r="C15" s="57" t="inlineStr">
        <is>
          <t>Deep packet inspection helps debug production issues at SDE2 level.</t>
        </is>
      </c>
      <c r="D15" s="57" t="inlineStr">
        <is>
          <t>Wireshark official sample captures (free)</t>
        </is>
      </c>
      <c r="E15" s="58" t="inlineStr">
        <is>
          <t>1 hr/week</t>
        </is>
      </c>
      <c r="F15" s="58" t="inlineStr">
        <is>
          <t>Month 1</t>
        </is>
      </c>
      <c r="G15" s="58" t="inlineStr">
        <is>
          <t>⬜ Not Started</t>
        </is>
      </c>
      <c r="H15" s="57" t="inlineStr">
        <is>
          <t>Capture your own HTTP/WebSocket traffic</t>
        </is>
      </c>
    </row>
    <row r="16" ht="44" customHeight="1">
      <c r="A16" s="56" t="n">
        <v>13</v>
      </c>
      <c r="B16" s="98" t="inlineStr">
        <is>
          <t>Cloud Architecture Certifications</t>
        </is>
      </c>
      <c r="C16" s="55" t="inlineStr">
        <is>
          <t>AWS SAA-C03 validates cloud knowledge. Optional but respected at SDE2.</t>
        </is>
      </c>
      <c r="D16" s="55" t="inlineStr">
        <is>
          <t>AWS free tier labs + FreeCodeCamp AWS course on YouTube</t>
        </is>
      </c>
      <c r="E16" s="56" t="inlineStr">
        <is>
          <t>3 hrs/week</t>
        </is>
      </c>
      <c r="F16" s="56" t="inlineStr">
        <is>
          <t>Month 5</t>
        </is>
      </c>
      <c r="G16" s="56" t="inlineStr">
        <is>
          <t>⬜ Not Started</t>
        </is>
      </c>
      <c r="H16" s="55" t="inlineStr">
        <is>
          <t>Practice exams: Whizlabs free tier</t>
        </is>
      </c>
    </row>
    <row r="17" ht="44" customHeight="1">
      <c r="A17" s="58" t="n">
        <v>14</v>
      </c>
      <c r="B17" s="99" t="inlineStr">
        <is>
          <t>Coding Interview Prep (Blind 75)</t>
        </is>
      </c>
      <c r="C17" s="57" t="inlineStr">
        <is>
          <t>SDE2 coding: must do Blind 75 + 50 more mediums before interviews.</t>
        </is>
      </c>
      <c r="D17" s="57" t="inlineStr">
        <is>
          <t>NeetCode.io (free video solutions)</t>
        </is>
      </c>
      <c r="E17" s="58" t="inlineStr">
        <is>
          <t>Daily 1 problem</t>
        </is>
      </c>
      <c r="F17" s="58" t="inlineStr">
        <is>
          <t>Month 1 onwards</t>
        </is>
      </c>
      <c r="G17" s="58" t="inlineStr">
        <is>
          <t>⬜ Not Started</t>
        </is>
      </c>
      <c r="H17" s="57" t="inlineStr">
        <is>
          <t>Track completion: use NeetCode progress tracker</t>
        </is>
      </c>
    </row>
    <row r="18" ht="44" customHeight="1">
      <c r="A18" s="56" t="n">
        <v>15</v>
      </c>
      <c r="B18" s="98" t="inlineStr">
        <is>
          <t>Reading DDIA Book</t>
        </is>
      </c>
      <c r="C18" s="55" t="inlineStr">
        <is>
          <t>'Designing Data-Intensive Applications' — the bible. Covers everything in depth.</t>
        </is>
      </c>
      <c r="D18" s="55" t="inlineStr">
        <is>
          <t>Free PDF available online (Martin Kleppmann)</t>
        </is>
      </c>
      <c r="E18" s="56" t="inlineStr">
        <is>
          <t>3–4 hrs/week</t>
        </is>
      </c>
      <c r="F18" s="56" t="inlineStr">
        <is>
          <t>Month 2</t>
        </is>
      </c>
      <c r="G18" s="56" t="inlineStr">
        <is>
          <t>⬜ Not Started</t>
        </is>
      </c>
      <c r="H18" s="55" t="inlineStr">
        <is>
          <t>Chapters 1, 2, 3, 5, 6, 7, 8, 9 are essential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6" customWidth="1" min="11" max="11"/>
    <col width="12" customWidth="1" min="12" max="12"/>
    <col width="14" customWidth="1" min="13" max="13"/>
    <col width="32" customWidth="1" min="14" max="14"/>
  </cols>
  <sheetData>
    <row r="1" ht="36" customHeight="1">
      <c r="A1" s="100" t="inlineStr">
        <is>
          <t>📅 WEEKLY PLANNER — Plan Your Week Every Sunday Night</t>
        </is>
      </c>
    </row>
    <row r="2">
      <c r="A2" s="101" t="inlineStr">
        <is>
          <t>Fill in Mon–Sun with what you will study each day. Check 'Done?' on Sunday. Track total hours.</t>
        </is>
      </c>
    </row>
    <row r="3" ht="32" customHeight="1">
      <c r="A3" s="102" t="inlineStr">
        <is>
          <t>Week</t>
        </is>
      </c>
      <c r="B3" s="102" t="inlineStr">
        <is>
          <t>Dates</t>
        </is>
      </c>
      <c r="C3" s="102" t="inlineStr">
        <is>
          <t>Phase Focus</t>
        </is>
      </c>
      <c r="D3" s="102" t="inlineStr">
        <is>
          <t>Mon</t>
        </is>
      </c>
      <c r="E3" s="102" t="inlineStr">
        <is>
          <t>Tue</t>
        </is>
      </c>
      <c r="F3" s="102" t="inlineStr">
        <is>
          <t>Wed</t>
        </is>
      </c>
      <c r="G3" s="102" t="inlineStr">
        <is>
          <t>Thu</t>
        </is>
      </c>
      <c r="H3" s="102" t="inlineStr">
        <is>
          <t>Fri</t>
        </is>
      </c>
      <c r="I3" s="102" t="inlineStr">
        <is>
          <t>Sat</t>
        </is>
      </c>
      <c r="J3" s="102" t="inlineStr">
        <is>
          <t>Sun</t>
        </is>
      </c>
      <c r="K3" s="102" t="inlineStr">
        <is>
          <t>Weekly Goal</t>
        </is>
      </c>
      <c r="L3" s="102" t="inlineStr">
        <is>
          <t>Done? (Y/N)</t>
        </is>
      </c>
      <c r="M3" s="102" t="inlineStr">
        <is>
          <t>Hrs This Week</t>
        </is>
      </c>
      <c r="N3" s="102" t="inlineStr">
        <is>
          <t>Notes</t>
        </is>
      </c>
    </row>
    <row r="4" ht="38" customHeight="1">
      <c r="A4" s="103" t="inlineStr">
        <is>
          <t>W1</t>
        </is>
      </c>
      <c r="B4" s="104" t="inlineStr">
        <is>
          <t>Month 1 Wk 1</t>
        </is>
      </c>
      <c r="C4" s="105" t="inlineStr">
        <is>
          <t>P1: Prerequisites</t>
        </is>
      </c>
      <c r="D4" s="57" t="inlineStr"/>
      <c r="E4" s="55" t="inlineStr"/>
      <c r="F4" s="57" t="inlineStr"/>
      <c r="G4" s="55" t="inlineStr"/>
      <c r="H4" s="57" t="inlineStr"/>
      <c r="I4" s="55" t="inlineStr"/>
      <c r="J4" s="57" t="inlineStr"/>
      <c r="K4" s="55" t="inlineStr"/>
      <c r="L4" s="106" t="inlineStr"/>
      <c r="M4" s="106" t="inlineStr"/>
      <c r="N4" s="107" t="inlineStr"/>
    </row>
    <row r="5" ht="38" customHeight="1">
      <c r="A5" s="103" t="inlineStr">
        <is>
          <t>W2</t>
        </is>
      </c>
      <c r="B5" s="104" t="inlineStr">
        <is>
          <t>Month 1 Wk 2</t>
        </is>
      </c>
      <c r="C5" s="105" t="inlineStr">
        <is>
          <t>P1: Prerequisites</t>
        </is>
      </c>
      <c r="D5" s="57" t="inlineStr"/>
      <c r="E5" s="55" t="inlineStr"/>
      <c r="F5" s="57" t="inlineStr"/>
      <c r="G5" s="55" t="inlineStr"/>
      <c r="H5" s="57" t="inlineStr"/>
      <c r="I5" s="55" t="inlineStr"/>
      <c r="J5" s="57" t="inlineStr"/>
      <c r="K5" s="55" t="inlineStr"/>
      <c r="L5" s="106" t="inlineStr"/>
      <c r="M5" s="106" t="inlineStr"/>
      <c r="N5" s="107" t="inlineStr"/>
    </row>
    <row r="6" ht="38" customHeight="1">
      <c r="A6" s="103" t="inlineStr">
        <is>
          <t>W3</t>
        </is>
      </c>
      <c r="B6" s="104" t="inlineStr">
        <is>
          <t>Month 1 Wk 3</t>
        </is>
      </c>
      <c r="C6" s="105" t="inlineStr">
        <is>
          <t>P2: Networking</t>
        </is>
      </c>
      <c r="D6" s="57" t="inlineStr"/>
      <c r="E6" s="55" t="inlineStr"/>
      <c r="F6" s="57" t="inlineStr"/>
      <c r="G6" s="55" t="inlineStr"/>
      <c r="H6" s="57" t="inlineStr"/>
      <c r="I6" s="55" t="inlineStr"/>
      <c r="J6" s="57" t="inlineStr"/>
      <c r="K6" s="55" t="inlineStr"/>
      <c r="L6" s="106" t="inlineStr"/>
      <c r="M6" s="106" t="inlineStr"/>
      <c r="N6" s="107" t="inlineStr"/>
    </row>
    <row r="7" ht="38" customHeight="1">
      <c r="A7" s="103" t="inlineStr">
        <is>
          <t>W4</t>
        </is>
      </c>
      <c r="B7" s="104" t="inlineStr">
        <is>
          <t>Month 1 Wk 4</t>
        </is>
      </c>
      <c r="C7" s="105" t="inlineStr">
        <is>
          <t>P2: Networking</t>
        </is>
      </c>
      <c r="D7" s="57" t="inlineStr"/>
      <c r="E7" s="55" t="inlineStr"/>
      <c r="F7" s="57" t="inlineStr"/>
      <c r="G7" s="55" t="inlineStr"/>
      <c r="H7" s="57" t="inlineStr"/>
      <c r="I7" s="55" t="inlineStr"/>
      <c r="J7" s="57" t="inlineStr"/>
      <c r="K7" s="55" t="inlineStr"/>
      <c r="L7" s="106" t="inlineStr"/>
      <c r="M7" s="106" t="inlineStr"/>
      <c r="N7" s="107" t="inlineStr"/>
    </row>
    <row r="8" ht="38" customHeight="1">
      <c r="A8" s="103" t="inlineStr">
        <is>
          <t>W5</t>
        </is>
      </c>
      <c r="B8" s="104" t="inlineStr">
        <is>
          <t>Month 2 Wk 1</t>
        </is>
      </c>
      <c r="C8" s="105" t="inlineStr">
        <is>
          <t>P3: SQL (Part 1)</t>
        </is>
      </c>
      <c r="D8" s="57" t="inlineStr"/>
      <c r="E8" s="55" t="inlineStr"/>
      <c r="F8" s="57" t="inlineStr"/>
      <c r="G8" s="55" t="inlineStr"/>
      <c r="H8" s="57" t="inlineStr"/>
      <c r="I8" s="55" t="inlineStr"/>
      <c r="J8" s="57" t="inlineStr"/>
      <c r="K8" s="55" t="inlineStr"/>
      <c r="L8" s="106" t="inlineStr"/>
      <c r="M8" s="106" t="inlineStr"/>
      <c r="N8" s="107" t="inlineStr"/>
    </row>
    <row r="9" ht="38" customHeight="1">
      <c r="A9" s="103" t="inlineStr">
        <is>
          <t>W6</t>
        </is>
      </c>
      <c r="B9" s="104" t="inlineStr">
        <is>
          <t>Month 2 Wk 2</t>
        </is>
      </c>
      <c r="C9" s="105" t="inlineStr">
        <is>
          <t>P3: SQL (Part 2)</t>
        </is>
      </c>
      <c r="D9" s="57" t="inlineStr"/>
      <c r="E9" s="55" t="inlineStr"/>
      <c r="F9" s="57" t="inlineStr"/>
      <c r="G9" s="55" t="inlineStr"/>
      <c r="H9" s="57" t="inlineStr"/>
      <c r="I9" s="55" t="inlineStr"/>
      <c r="J9" s="57" t="inlineStr"/>
      <c r="K9" s="55" t="inlineStr"/>
      <c r="L9" s="106" t="inlineStr"/>
      <c r="M9" s="106" t="inlineStr"/>
      <c r="N9" s="107" t="inlineStr"/>
    </row>
    <row r="10" ht="38" customHeight="1">
      <c r="A10" s="103" t="inlineStr">
        <is>
          <t>W7</t>
        </is>
      </c>
      <c r="B10" s="104" t="inlineStr">
        <is>
          <t>Month 2 Wk 3</t>
        </is>
      </c>
      <c r="C10" s="105" t="inlineStr">
        <is>
          <t>P4: NoSQL (Part 1)</t>
        </is>
      </c>
      <c r="D10" s="57" t="inlineStr"/>
      <c r="E10" s="55" t="inlineStr"/>
      <c r="F10" s="57" t="inlineStr"/>
      <c r="G10" s="55" t="inlineStr"/>
      <c r="H10" s="57" t="inlineStr"/>
      <c r="I10" s="55" t="inlineStr"/>
      <c r="J10" s="57" t="inlineStr"/>
      <c r="K10" s="55" t="inlineStr"/>
      <c r="L10" s="106" t="inlineStr"/>
      <c r="M10" s="106" t="inlineStr"/>
      <c r="N10" s="107" t="inlineStr"/>
    </row>
    <row r="11" ht="38" customHeight="1">
      <c r="A11" s="103" t="inlineStr">
        <is>
          <t>W8</t>
        </is>
      </c>
      <c r="B11" s="104" t="inlineStr">
        <is>
          <t>Month 2 Wk 4</t>
        </is>
      </c>
      <c r="C11" s="105" t="inlineStr">
        <is>
          <t>P4: NoSQL (Part 2)</t>
        </is>
      </c>
      <c r="D11" s="57" t="inlineStr"/>
      <c r="E11" s="55" t="inlineStr"/>
      <c r="F11" s="57" t="inlineStr"/>
      <c r="G11" s="55" t="inlineStr"/>
      <c r="H11" s="57" t="inlineStr"/>
      <c r="I11" s="55" t="inlineStr"/>
      <c r="J11" s="57" t="inlineStr"/>
      <c r="K11" s="55" t="inlineStr"/>
      <c r="L11" s="106" t="inlineStr"/>
      <c r="M11" s="106" t="inlineStr"/>
      <c r="N11" s="107" t="inlineStr"/>
    </row>
    <row r="12" ht="38" customHeight="1">
      <c r="A12" s="108" t="inlineStr">
        <is>
          <t>W9</t>
        </is>
      </c>
      <c r="B12" s="104" t="inlineStr">
        <is>
          <t>Month 3 Wk 1</t>
        </is>
      </c>
      <c r="C12" s="105" t="inlineStr">
        <is>
          <t>P5: APIs (Part 1)</t>
        </is>
      </c>
      <c r="D12" s="57" t="inlineStr"/>
      <c r="E12" s="55" t="inlineStr"/>
      <c r="F12" s="57" t="inlineStr"/>
      <c r="G12" s="55" t="inlineStr"/>
      <c r="H12" s="57" t="inlineStr"/>
      <c r="I12" s="55" t="inlineStr"/>
      <c r="J12" s="57" t="inlineStr"/>
      <c r="K12" s="55" t="inlineStr"/>
      <c r="L12" s="106" t="inlineStr"/>
      <c r="M12" s="106" t="inlineStr"/>
      <c r="N12" s="107" t="inlineStr"/>
    </row>
    <row r="13" ht="38" customHeight="1">
      <c r="A13" s="108" t="inlineStr">
        <is>
          <t>W10</t>
        </is>
      </c>
      <c r="B13" s="104" t="inlineStr">
        <is>
          <t>Month 3 Wk 2</t>
        </is>
      </c>
      <c r="C13" s="105" t="inlineStr">
        <is>
          <t>P5: APIs (Part 2)</t>
        </is>
      </c>
      <c r="D13" s="57" t="inlineStr"/>
      <c r="E13" s="55" t="inlineStr"/>
      <c r="F13" s="57" t="inlineStr"/>
      <c r="G13" s="55" t="inlineStr"/>
      <c r="H13" s="57" t="inlineStr"/>
      <c r="I13" s="55" t="inlineStr"/>
      <c r="J13" s="57" t="inlineStr"/>
      <c r="K13" s="55" t="inlineStr"/>
      <c r="L13" s="106" t="inlineStr"/>
      <c r="M13" s="106" t="inlineStr"/>
      <c r="N13" s="107" t="inlineStr"/>
    </row>
    <row r="14" ht="38" customHeight="1">
      <c r="A14" s="108" t="inlineStr">
        <is>
          <t>W11</t>
        </is>
      </c>
      <c r="B14" s="104" t="inlineStr">
        <is>
          <t>Month 3 Wk 3</t>
        </is>
      </c>
      <c r="C14" s="105" t="inlineStr">
        <is>
          <t>P6: Core Comp (Part 1)</t>
        </is>
      </c>
      <c r="D14" s="57" t="inlineStr"/>
      <c r="E14" s="55" t="inlineStr"/>
      <c r="F14" s="57" t="inlineStr"/>
      <c r="G14" s="55" t="inlineStr"/>
      <c r="H14" s="57" t="inlineStr"/>
      <c r="I14" s="55" t="inlineStr"/>
      <c r="J14" s="57" t="inlineStr"/>
      <c r="K14" s="55" t="inlineStr"/>
      <c r="L14" s="106" t="inlineStr"/>
      <c r="M14" s="106" t="inlineStr"/>
      <c r="N14" s="107" t="inlineStr"/>
    </row>
    <row r="15" ht="38" customHeight="1">
      <c r="A15" s="108" t="inlineStr">
        <is>
          <t>W12</t>
        </is>
      </c>
      <c r="B15" s="104" t="inlineStr">
        <is>
          <t>Month 3 Wk 4</t>
        </is>
      </c>
      <c r="C15" s="105" t="inlineStr">
        <is>
          <t>P6: Core Comp (Part 2)</t>
        </is>
      </c>
      <c r="D15" s="57" t="inlineStr"/>
      <c r="E15" s="55" t="inlineStr"/>
      <c r="F15" s="57" t="inlineStr"/>
      <c r="G15" s="55" t="inlineStr"/>
      <c r="H15" s="57" t="inlineStr"/>
      <c r="I15" s="55" t="inlineStr"/>
      <c r="J15" s="57" t="inlineStr"/>
      <c r="K15" s="55" t="inlineStr"/>
      <c r="L15" s="106" t="inlineStr"/>
      <c r="M15" s="106" t="inlineStr"/>
      <c r="N15" s="107" t="inlineStr"/>
    </row>
    <row r="16" ht="38" customHeight="1">
      <c r="A16" s="108" t="inlineStr">
        <is>
          <t>W13</t>
        </is>
      </c>
      <c r="B16" s="104" t="inlineStr">
        <is>
          <t>Month 4 Wk 1</t>
        </is>
      </c>
      <c r="C16" s="105" t="inlineStr">
        <is>
          <t>P7: Scaling (Part 1)</t>
        </is>
      </c>
      <c r="D16" s="57" t="inlineStr"/>
      <c r="E16" s="55" t="inlineStr"/>
      <c r="F16" s="57" t="inlineStr"/>
      <c r="G16" s="55" t="inlineStr"/>
      <c r="H16" s="57" t="inlineStr"/>
      <c r="I16" s="55" t="inlineStr"/>
      <c r="J16" s="57" t="inlineStr"/>
      <c r="K16" s="55" t="inlineStr"/>
      <c r="L16" s="106" t="inlineStr"/>
      <c r="M16" s="106" t="inlineStr"/>
      <c r="N16" s="107" t="inlineStr"/>
    </row>
    <row r="17" ht="38" customHeight="1">
      <c r="A17" s="108" t="inlineStr">
        <is>
          <t>W14</t>
        </is>
      </c>
      <c r="B17" s="104" t="inlineStr">
        <is>
          <t>Month 4 Wk 2</t>
        </is>
      </c>
      <c r="C17" s="105" t="inlineStr">
        <is>
          <t>P7: Scaling (Part 2)</t>
        </is>
      </c>
      <c r="D17" s="57" t="inlineStr"/>
      <c r="E17" s="55" t="inlineStr"/>
      <c r="F17" s="57" t="inlineStr"/>
      <c r="G17" s="55" t="inlineStr"/>
      <c r="H17" s="57" t="inlineStr"/>
      <c r="I17" s="55" t="inlineStr"/>
      <c r="J17" s="57" t="inlineStr"/>
      <c r="K17" s="55" t="inlineStr"/>
      <c r="L17" s="106" t="inlineStr"/>
      <c r="M17" s="106" t="inlineStr"/>
      <c r="N17" s="107" t="inlineStr"/>
    </row>
    <row r="18" ht="38" customHeight="1">
      <c r="A18" s="108" t="inlineStr">
        <is>
          <t>W15</t>
        </is>
      </c>
      <c r="B18" s="104" t="inlineStr">
        <is>
          <t>Month 4 Wk 3</t>
        </is>
      </c>
      <c r="C18" s="105" t="inlineStr">
        <is>
          <t>Month 2 Review</t>
        </is>
      </c>
      <c r="D18" s="57" t="inlineStr"/>
      <c r="E18" s="55" t="inlineStr"/>
      <c r="F18" s="57" t="inlineStr"/>
      <c r="G18" s="55" t="inlineStr"/>
      <c r="H18" s="57" t="inlineStr"/>
      <c r="I18" s="55" t="inlineStr"/>
      <c r="J18" s="57" t="inlineStr"/>
      <c r="K18" s="55" t="inlineStr"/>
      <c r="L18" s="106" t="inlineStr"/>
      <c r="M18" s="106" t="inlineStr"/>
      <c r="N18" s="107" t="inlineStr"/>
    </row>
    <row r="19" ht="38" customHeight="1">
      <c r="A19" s="109" t="inlineStr">
        <is>
          <t>W16</t>
        </is>
      </c>
      <c r="B19" s="104" t="inlineStr">
        <is>
          <t>Month 4 Wk 4</t>
        </is>
      </c>
      <c r="C19" s="105" t="inlineStr">
        <is>
          <t>P8: Dist Sys (Part 1)</t>
        </is>
      </c>
      <c r="D19" s="57" t="inlineStr"/>
      <c r="E19" s="55" t="inlineStr"/>
      <c r="F19" s="57" t="inlineStr"/>
      <c r="G19" s="55" t="inlineStr"/>
      <c r="H19" s="57" t="inlineStr"/>
      <c r="I19" s="55" t="inlineStr"/>
      <c r="J19" s="57" t="inlineStr"/>
      <c r="K19" s="55" t="inlineStr"/>
      <c r="L19" s="106" t="inlineStr"/>
      <c r="M19" s="106" t="inlineStr"/>
      <c r="N19" s="107" t="inlineStr"/>
    </row>
    <row r="20" ht="38" customHeight="1">
      <c r="A20" s="109" t="inlineStr">
        <is>
          <t>W17</t>
        </is>
      </c>
      <c r="B20" s="104" t="inlineStr">
        <is>
          <t>Month 5 Wk 1</t>
        </is>
      </c>
      <c r="C20" s="105" t="inlineStr">
        <is>
          <t>P8: Dist Sys (Part 2)</t>
        </is>
      </c>
      <c r="D20" s="57" t="inlineStr"/>
      <c r="E20" s="55" t="inlineStr"/>
      <c r="F20" s="57" t="inlineStr"/>
      <c r="G20" s="55" t="inlineStr"/>
      <c r="H20" s="57" t="inlineStr"/>
      <c r="I20" s="55" t="inlineStr"/>
      <c r="J20" s="57" t="inlineStr"/>
      <c r="K20" s="55" t="inlineStr"/>
      <c r="L20" s="106" t="inlineStr"/>
      <c r="M20" s="106" t="inlineStr"/>
      <c r="N20" s="107" t="inlineStr"/>
    </row>
    <row r="21" ht="38" customHeight="1">
      <c r="A21" s="109" t="inlineStr">
        <is>
          <t>W18</t>
        </is>
      </c>
      <c r="B21" s="104" t="inlineStr">
        <is>
          <t>Month 5 Wk 2</t>
        </is>
      </c>
      <c r="C21" s="105" t="inlineStr">
        <is>
          <t>P8: Dist Sys (Part 3)</t>
        </is>
      </c>
      <c r="D21" s="57" t="inlineStr"/>
      <c r="E21" s="55" t="inlineStr"/>
      <c r="F21" s="57" t="inlineStr"/>
      <c r="G21" s="55" t="inlineStr"/>
      <c r="H21" s="57" t="inlineStr"/>
      <c r="I21" s="55" t="inlineStr"/>
      <c r="J21" s="57" t="inlineStr"/>
      <c r="K21" s="55" t="inlineStr"/>
      <c r="L21" s="106" t="inlineStr"/>
      <c r="M21" s="106" t="inlineStr"/>
      <c r="N21" s="107" t="inlineStr"/>
    </row>
    <row r="22" ht="38" customHeight="1">
      <c r="A22" s="109" t="inlineStr">
        <is>
          <t>W19</t>
        </is>
      </c>
      <c r="B22" s="104" t="inlineStr">
        <is>
          <t>Month 5 Wk 3</t>
        </is>
      </c>
      <c r="C22" s="105" t="inlineStr">
        <is>
          <t>P9: Async (Part 1)</t>
        </is>
      </c>
      <c r="D22" s="57" t="inlineStr"/>
      <c r="E22" s="55" t="inlineStr"/>
      <c r="F22" s="57" t="inlineStr"/>
      <c r="G22" s="55" t="inlineStr"/>
      <c r="H22" s="57" t="inlineStr"/>
      <c r="I22" s="55" t="inlineStr"/>
      <c r="J22" s="57" t="inlineStr"/>
      <c r="K22" s="55" t="inlineStr"/>
      <c r="L22" s="106" t="inlineStr"/>
      <c r="M22" s="106" t="inlineStr"/>
      <c r="N22" s="107" t="inlineStr"/>
    </row>
    <row r="23" ht="38" customHeight="1">
      <c r="A23" s="109" t="inlineStr">
        <is>
          <t>W20</t>
        </is>
      </c>
      <c r="B23" s="104" t="inlineStr">
        <is>
          <t>Month 5 Wk 4</t>
        </is>
      </c>
      <c r="C23" s="105" t="inlineStr">
        <is>
          <t>P9: Async (Part 2)</t>
        </is>
      </c>
      <c r="D23" s="57" t="inlineStr"/>
      <c r="E23" s="55" t="inlineStr"/>
      <c r="F23" s="57" t="inlineStr"/>
      <c r="G23" s="55" t="inlineStr"/>
      <c r="H23" s="57" t="inlineStr"/>
      <c r="I23" s="55" t="inlineStr"/>
      <c r="J23" s="57" t="inlineStr"/>
      <c r="K23" s="55" t="inlineStr"/>
      <c r="L23" s="106" t="inlineStr"/>
      <c r="M23" s="106" t="inlineStr"/>
      <c r="N23" s="107" t="inlineStr"/>
    </row>
    <row r="24" ht="38" customHeight="1">
      <c r="A24" s="109" t="inlineStr">
        <is>
          <t>W21</t>
        </is>
      </c>
      <c r="B24" s="104" t="inlineStr">
        <is>
          <t>Month 6 Wk 1</t>
        </is>
      </c>
      <c r="C24" s="105" t="inlineStr">
        <is>
          <t>P10: Architecture (P1)</t>
        </is>
      </c>
      <c r="D24" s="57" t="inlineStr"/>
      <c r="E24" s="55" t="inlineStr"/>
      <c r="F24" s="57" t="inlineStr"/>
      <c r="G24" s="55" t="inlineStr"/>
      <c r="H24" s="57" t="inlineStr"/>
      <c r="I24" s="55" t="inlineStr"/>
      <c r="J24" s="57" t="inlineStr"/>
      <c r="K24" s="55" t="inlineStr"/>
      <c r="L24" s="106" t="inlineStr"/>
      <c r="M24" s="106" t="inlineStr"/>
      <c r="N24" s="107" t="inlineStr"/>
    </row>
    <row r="25" ht="38" customHeight="1">
      <c r="A25" s="109" t="inlineStr">
        <is>
          <t>W22</t>
        </is>
      </c>
      <c r="B25" s="104" t="inlineStr">
        <is>
          <t>Month 6 Wk 2</t>
        </is>
      </c>
      <c r="C25" s="105" t="inlineStr">
        <is>
          <t>P10: Architecture (P2)</t>
        </is>
      </c>
      <c r="D25" s="57" t="inlineStr"/>
      <c r="E25" s="55" t="inlineStr"/>
      <c r="F25" s="57" t="inlineStr"/>
      <c r="G25" s="55" t="inlineStr"/>
      <c r="H25" s="57" t="inlineStr"/>
      <c r="I25" s="55" t="inlineStr"/>
      <c r="J25" s="57" t="inlineStr"/>
      <c r="K25" s="55" t="inlineStr"/>
      <c r="L25" s="106" t="inlineStr"/>
      <c r="M25" s="106" t="inlineStr"/>
      <c r="N25" s="107" t="inlineStr"/>
    </row>
    <row r="26" ht="38" customHeight="1">
      <c r="A26" s="109" t="inlineStr">
        <is>
          <t>W23</t>
        </is>
      </c>
      <c r="B26" s="104" t="inlineStr">
        <is>
          <t>Month 6 Wk 3</t>
        </is>
      </c>
      <c r="C26" s="105" t="inlineStr">
        <is>
          <t>Month 3 Review</t>
        </is>
      </c>
      <c r="D26" s="57" t="inlineStr"/>
      <c r="E26" s="55" t="inlineStr"/>
      <c r="F26" s="57" t="inlineStr"/>
      <c r="G26" s="55" t="inlineStr"/>
      <c r="H26" s="57" t="inlineStr"/>
      <c r="I26" s="55" t="inlineStr"/>
      <c r="J26" s="57" t="inlineStr"/>
      <c r="K26" s="55" t="inlineStr"/>
      <c r="L26" s="106" t="inlineStr"/>
      <c r="M26" s="106" t="inlineStr"/>
      <c r="N26" s="107" t="inlineStr"/>
    </row>
    <row r="27" ht="38" customHeight="1">
      <c r="A27" s="110" t="inlineStr">
        <is>
          <t>W24</t>
        </is>
      </c>
      <c r="B27" s="104" t="inlineStr">
        <is>
          <t>Month 6 Wk 4</t>
        </is>
      </c>
      <c r="C27" s="105" t="inlineStr">
        <is>
          <t>P11: Reliability</t>
        </is>
      </c>
      <c r="D27" s="57" t="inlineStr"/>
      <c r="E27" s="55" t="inlineStr"/>
      <c r="F27" s="57" t="inlineStr"/>
      <c r="G27" s="55" t="inlineStr"/>
      <c r="H27" s="57" t="inlineStr"/>
      <c r="I27" s="55" t="inlineStr"/>
      <c r="J27" s="57" t="inlineStr"/>
      <c r="K27" s="55" t="inlineStr"/>
      <c r="L27" s="106" t="inlineStr"/>
      <c r="M27" s="106" t="inlineStr"/>
      <c r="N27" s="107" t="inlineStr"/>
    </row>
    <row r="28" ht="38" customHeight="1">
      <c r="A28" s="110" t="inlineStr">
        <is>
          <t>W25</t>
        </is>
      </c>
      <c r="B28" s="104" t="inlineStr">
        <is>
          <t>Month 6 Wk 1</t>
        </is>
      </c>
      <c r="C28" s="105" t="inlineStr">
        <is>
          <t>P12: Performance</t>
        </is>
      </c>
      <c r="D28" s="57" t="inlineStr"/>
      <c r="E28" s="55" t="inlineStr"/>
      <c r="F28" s="57" t="inlineStr"/>
      <c r="G28" s="55" t="inlineStr"/>
      <c r="H28" s="57" t="inlineStr"/>
      <c r="I28" s="55" t="inlineStr"/>
      <c r="J28" s="57" t="inlineStr"/>
      <c r="K28" s="55" t="inlineStr"/>
      <c r="L28" s="106" t="inlineStr"/>
      <c r="M28" s="106" t="inlineStr"/>
      <c r="N28" s="107" t="inlineStr"/>
    </row>
    <row r="29" ht="38" customHeight="1">
      <c r="A29" s="110" t="inlineStr">
        <is>
          <t>W26</t>
        </is>
      </c>
      <c r="B29" s="104" t="inlineStr">
        <is>
          <t>Month 6 Wk 2</t>
        </is>
      </c>
      <c r="C29" s="105" t="inlineStr">
        <is>
          <t>P13: Security (Part 1)</t>
        </is>
      </c>
      <c r="D29" s="57" t="inlineStr"/>
      <c r="E29" s="55" t="inlineStr"/>
      <c r="F29" s="57" t="inlineStr"/>
      <c r="G29" s="55" t="inlineStr"/>
      <c r="H29" s="57" t="inlineStr"/>
      <c r="I29" s="55" t="inlineStr"/>
      <c r="J29" s="57" t="inlineStr"/>
      <c r="K29" s="55" t="inlineStr"/>
      <c r="L29" s="106" t="inlineStr"/>
      <c r="M29" s="106" t="inlineStr"/>
      <c r="N29" s="107" t="inlineStr"/>
    </row>
  </sheetData>
  <mergeCells count="2">
    <mergeCell ref="A2:N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44" customWidth="1" min="4" max="4"/>
    <col width="28" customWidth="1" min="5" max="5"/>
    <col width="12" customWidth="1" min="6" max="6"/>
  </cols>
  <sheetData>
    <row r="1" ht="36" customHeight="1">
      <c r="A1" s="111" t="inlineStr">
        <is>
          <t>📖 MASTER RESOURCE LIST — All Free Resources Curated for SDE2 Backend Learning</t>
        </is>
      </c>
    </row>
    <row r="2">
      <c r="A2" s="112" t="inlineStr">
        <is>
          <t>Category</t>
        </is>
      </c>
      <c r="B2" s="112" t="inlineStr">
        <is>
          <t>Resource Name</t>
        </is>
      </c>
      <c r="C2" s="112" t="inlineStr">
        <is>
          <t>Type</t>
        </is>
      </c>
      <c r="D2" s="112" t="inlineStr">
        <is>
          <t>URL / Where to Find</t>
        </is>
      </c>
      <c r="E2" s="112" t="inlineStr">
        <is>
          <t>Phases Covered</t>
        </is>
      </c>
      <c r="F2" s="112" t="inlineStr">
        <is>
          <t>Priority</t>
        </is>
      </c>
    </row>
    <row r="3" ht="22" customHeight="1">
      <c r="A3" s="113" t="inlineStr">
        <is>
          <t>📚 Books</t>
        </is>
      </c>
      <c r="B3" s="55" t="inlineStr">
        <is>
          <t>Designing Data-Intensive Applications</t>
        </is>
      </c>
      <c r="C3" s="56" t="inlineStr">
        <is>
          <t>Book (PDF)</t>
        </is>
      </c>
      <c r="D3" s="55" t="inlineStr">
        <is>
          <t>Free PDF available online (DDIA by Kleppmann)</t>
        </is>
      </c>
      <c r="E3" s="55" t="inlineStr">
        <is>
          <t>P3, P4, P7, P8, P9</t>
        </is>
      </c>
      <c r="F3" s="56" t="inlineStr">
        <is>
          <t>⭐ MUST READ</t>
        </is>
      </c>
    </row>
    <row r="4" ht="22" customHeight="1">
      <c r="A4" s="114" t="inlineStr">
        <is>
          <t>📚 Books</t>
        </is>
      </c>
      <c r="B4" s="115" t="inlineStr">
        <is>
          <t>System Design Interview Vol 1+2 (Alex Xu)</t>
        </is>
      </c>
      <c r="C4" s="116" t="inlineStr">
        <is>
          <t>Book</t>
        </is>
      </c>
      <c r="D4" s="115" t="inlineStr">
        <is>
          <t>Amazon / Library</t>
        </is>
      </c>
      <c r="E4" s="115" t="inlineStr">
        <is>
          <t>P6-P16</t>
        </is>
      </c>
      <c r="F4" s="116" t="inlineStr">
        <is>
          <t>⭐ MUST READ</t>
        </is>
      </c>
    </row>
    <row r="5" ht="22" customHeight="1">
      <c r="A5" s="113" t="inlineStr">
        <is>
          <t>📚 Books</t>
        </is>
      </c>
      <c r="B5" s="55" t="inlineStr">
        <is>
          <t>Database Internals (Alex Petrov)</t>
        </is>
      </c>
      <c r="C5" s="56" t="inlineStr">
        <is>
          <t>Book (free ch.)</t>
        </is>
      </c>
      <c r="D5" s="55" t="inlineStr">
        <is>
          <t>databass.dev</t>
        </is>
      </c>
      <c r="E5" s="55" t="inlineStr">
        <is>
          <t>P3, P4</t>
        </is>
      </c>
      <c r="F5" s="56" t="inlineStr">
        <is>
          <t>🔵 High</t>
        </is>
      </c>
    </row>
    <row r="6" ht="22" customHeight="1">
      <c r="A6" s="114" t="inlineStr">
        <is>
          <t>📚 Books</t>
        </is>
      </c>
      <c r="B6" s="115" t="inlineStr">
        <is>
          <t>Building Microservices (Sam Newman)</t>
        </is>
      </c>
      <c r="C6" s="116" t="inlineStr">
        <is>
          <t>Book (preview)</t>
        </is>
      </c>
      <c r="D6" s="115" t="inlineStr">
        <is>
          <t>O'Reilly free preview</t>
        </is>
      </c>
      <c r="E6" s="115" t="inlineStr">
        <is>
          <t>P10</t>
        </is>
      </c>
      <c r="F6" s="116" t="inlineStr">
        <is>
          <t>🔵 High</t>
        </is>
      </c>
    </row>
    <row r="7" ht="22" customHeight="1">
      <c r="A7" s="113" t="inlineStr">
        <is>
          <t>📚 Books</t>
        </is>
      </c>
      <c r="B7" s="55" t="inlineStr">
        <is>
          <t>Google SRE Book</t>
        </is>
      </c>
      <c r="C7" s="56" t="inlineStr">
        <is>
          <t>Book (free)</t>
        </is>
      </c>
      <c r="D7" s="55" t="inlineStr">
        <is>
          <t>sre.google/books</t>
        </is>
      </c>
      <c r="E7" s="55" t="inlineStr">
        <is>
          <t>P11, P14</t>
        </is>
      </c>
      <c r="F7" s="56" t="inlineStr">
        <is>
          <t>🔵 High</t>
        </is>
      </c>
    </row>
    <row r="8" ht="22" customHeight="1">
      <c r="A8" s="114" t="inlineStr">
        <is>
          <t>📚 Books</t>
        </is>
      </c>
      <c r="B8" s="115" t="inlineStr">
        <is>
          <t>Release It! (Michael Nygard)</t>
        </is>
      </c>
      <c r="C8" s="116" t="inlineStr">
        <is>
          <t>Book</t>
        </is>
      </c>
      <c r="D8" s="115" t="inlineStr">
        <is>
          <t>Library/Amazon</t>
        </is>
      </c>
      <c r="E8" s="115" t="inlineStr">
        <is>
          <t>P11</t>
        </is>
      </c>
      <c r="F8" s="116" t="inlineStr">
        <is>
          <t>🟡 Medium</t>
        </is>
      </c>
    </row>
    <row r="9" ht="22" customHeight="1">
      <c r="A9" s="113" t="inlineStr">
        <is>
          <t>📚 Books</t>
        </is>
      </c>
      <c r="B9" s="55" t="inlineStr">
        <is>
          <t>The DynamoDB Book (Alex DeBrie)</t>
        </is>
      </c>
      <c r="C9" s="56" t="inlineStr">
        <is>
          <t>Book</t>
        </is>
      </c>
      <c r="D9" s="55" t="inlineStr">
        <is>
          <t>Amazon</t>
        </is>
      </c>
      <c r="E9" s="55" t="inlineStr">
        <is>
          <t>P4</t>
        </is>
      </c>
      <c r="F9" s="56" t="inlineStr">
        <is>
          <t>🟡 Medium</t>
        </is>
      </c>
    </row>
    <row r="10" ht="22" customHeight="1">
      <c r="A10" s="114" t="inlineStr">
        <is>
          <t>🎥 YouTube</t>
        </is>
      </c>
      <c r="B10" s="115" t="inlineStr">
        <is>
          <t>ByteByteGo</t>
        </is>
      </c>
      <c r="C10" s="116" t="inlineStr">
        <is>
          <t>YouTube Channel</t>
        </is>
      </c>
      <c r="D10" s="115" t="inlineStr">
        <is>
          <t>youtube.com/@ByteByteGo</t>
        </is>
      </c>
      <c r="E10" s="115" t="inlineStr">
        <is>
          <t>All Phases</t>
        </is>
      </c>
      <c r="F10" s="116" t="inlineStr">
        <is>
          <t>⭐ MUST WATCH</t>
        </is>
      </c>
    </row>
    <row r="11" ht="22" customHeight="1">
      <c r="A11" s="113" t="inlineStr">
        <is>
          <t>🎥 YouTube</t>
        </is>
      </c>
      <c r="B11" s="55" t="inlineStr">
        <is>
          <t>Gaurav Sen System Design</t>
        </is>
      </c>
      <c r="C11" s="56" t="inlineStr">
        <is>
          <t>YouTube Channel</t>
        </is>
      </c>
      <c r="D11" s="55" t="inlineStr">
        <is>
          <t>youtube.com/@gkcs</t>
        </is>
      </c>
      <c r="E11" s="55" t="inlineStr">
        <is>
          <t>P6-P16</t>
        </is>
      </c>
      <c r="F11" s="56" t="inlineStr">
        <is>
          <t>⭐ MUST WATCH</t>
        </is>
      </c>
    </row>
    <row r="12" ht="22" customHeight="1">
      <c r="A12" s="114" t="inlineStr">
        <is>
          <t>🎥 YouTube</t>
        </is>
      </c>
      <c r="B12" s="115" t="inlineStr">
        <is>
          <t>Hussein Nasser</t>
        </is>
      </c>
      <c r="C12" s="116" t="inlineStr">
        <is>
          <t>YouTube Channel</t>
        </is>
      </c>
      <c r="D12" s="115" t="inlineStr">
        <is>
          <t>youtube.com/@hnasr</t>
        </is>
      </c>
      <c r="E12" s="115" t="inlineStr">
        <is>
          <t>P2, P5, P6</t>
        </is>
      </c>
      <c r="F12" s="116" t="inlineStr">
        <is>
          <t>⭐ MUST WATCH</t>
        </is>
      </c>
    </row>
    <row r="13" ht="22" customHeight="1">
      <c r="A13" s="113" t="inlineStr">
        <is>
          <t>🎥 YouTube</t>
        </is>
      </c>
      <c r="B13" s="55" t="inlineStr">
        <is>
          <t>Arpit Bhayani</t>
        </is>
      </c>
      <c r="C13" s="56" t="inlineStr">
        <is>
          <t>YouTube Channel</t>
        </is>
      </c>
      <c r="D13" s="55" t="inlineStr">
        <is>
          <t>youtube.com/@ArpitBhayani</t>
        </is>
      </c>
      <c r="E13" s="55" t="inlineStr">
        <is>
          <t>All Phases</t>
        </is>
      </c>
      <c r="F13" s="56" t="inlineStr">
        <is>
          <t>⭐ MUST WATCH</t>
        </is>
      </c>
    </row>
    <row r="14" ht="22" customHeight="1">
      <c r="A14" s="114" t="inlineStr">
        <is>
          <t>🎥 YouTube</t>
        </is>
      </c>
      <c r="B14" s="115" t="inlineStr">
        <is>
          <t>MIT 6.824 Distributed Systems</t>
        </is>
      </c>
      <c r="C14" s="116" t="inlineStr">
        <is>
          <t>Course (free)</t>
        </is>
      </c>
      <c r="D14" s="115" t="inlineStr">
        <is>
          <t>pdos.csail.mit.edu/6.824</t>
        </is>
      </c>
      <c r="E14" s="115" t="inlineStr">
        <is>
          <t>P8</t>
        </is>
      </c>
      <c r="F14" s="116" t="inlineStr">
        <is>
          <t>⭐ MUST WATCH</t>
        </is>
      </c>
    </row>
    <row r="15" ht="22" customHeight="1">
      <c r="A15" s="113" t="inlineStr">
        <is>
          <t>🎥 YouTube</t>
        </is>
      </c>
      <c r="B15" s="55" t="inlineStr">
        <is>
          <t>Hello Interview</t>
        </is>
      </c>
      <c r="C15" s="56" t="inlineStr">
        <is>
          <t>YouTube Channel</t>
        </is>
      </c>
      <c r="D15" s="55" t="inlineStr">
        <is>
          <t>youtube.com/@hello_interview</t>
        </is>
      </c>
      <c r="E15" s="55" t="inlineStr">
        <is>
          <t>P16</t>
        </is>
      </c>
      <c r="F15" s="56" t="inlineStr">
        <is>
          <t>🔵 High</t>
        </is>
      </c>
    </row>
    <row r="16" ht="22" customHeight="1">
      <c r="A16" s="114" t="inlineStr">
        <is>
          <t>🎥 YouTube</t>
        </is>
      </c>
      <c r="B16" s="115" t="inlineStr">
        <is>
          <t>Jordan Has No Life</t>
        </is>
      </c>
      <c r="C16" s="116" t="inlineStr">
        <is>
          <t>YouTube Channel</t>
        </is>
      </c>
      <c r="D16" s="115" t="inlineStr">
        <is>
          <t>youtube.com/@jordanhasnolife5163</t>
        </is>
      </c>
      <c r="E16" s="115" t="inlineStr">
        <is>
          <t>P8, P9</t>
        </is>
      </c>
      <c r="F16" s="116" t="inlineStr">
        <is>
          <t>🔵 High</t>
        </is>
      </c>
    </row>
    <row r="17" ht="22" customHeight="1">
      <c r="A17" s="113" t="inlineStr">
        <is>
          <t>🌐 Free Courses</t>
        </is>
      </c>
      <c r="B17" s="55" t="inlineStr">
        <is>
          <t>freeCodeCamp Python/Java Course</t>
        </is>
      </c>
      <c r="C17" s="56" t="inlineStr">
        <is>
          <t>YouTube</t>
        </is>
      </c>
      <c r="D17" s="55" t="inlineStr">
        <is>
          <t>freeCodeCamp.org YouTube</t>
        </is>
      </c>
      <c r="E17" s="55" t="inlineStr">
        <is>
          <t>P1</t>
        </is>
      </c>
      <c r="F17" s="56" t="inlineStr">
        <is>
          <t>⭐ MUST USE</t>
        </is>
      </c>
    </row>
    <row r="18" ht="22" customHeight="1">
      <c r="A18" s="114" t="inlineStr">
        <is>
          <t>🌐 Free Courses</t>
        </is>
      </c>
      <c r="B18" s="115" t="inlineStr">
        <is>
          <t>PostgreSQL Tutorial</t>
        </is>
      </c>
      <c r="C18" s="116" t="inlineStr">
        <is>
          <t>Docs/Tutorial</t>
        </is>
      </c>
      <c r="D18" s="115" t="inlineStr">
        <is>
          <t>postgresql.org/docs/tutorial</t>
        </is>
      </c>
      <c r="E18" s="115" t="inlineStr">
        <is>
          <t>P3</t>
        </is>
      </c>
      <c r="F18" s="116" t="inlineStr">
        <is>
          <t>⭐ MUST USE</t>
        </is>
      </c>
    </row>
    <row r="19" ht="22" customHeight="1">
      <c r="A19" s="113" t="inlineStr">
        <is>
          <t>🌐 Free Courses</t>
        </is>
      </c>
      <c r="B19" s="55" t="inlineStr">
        <is>
          <t>Use The Index, Luke!</t>
        </is>
      </c>
      <c r="C19" s="56" t="inlineStr">
        <is>
          <t>Free Website</t>
        </is>
      </c>
      <c r="D19" s="55" t="inlineStr">
        <is>
          <t>use-the-index-luke.com</t>
        </is>
      </c>
      <c r="E19" s="55" t="inlineStr">
        <is>
          <t>P3</t>
        </is>
      </c>
      <c r="F19" s="56" t="inlineStr">
        <is>
          <t>⭐ MUST USE</t>
        </is>
      </c>
    </row>
    <row r="20" ht="22" customHeight="1">
      <c r="A20" s="114" t="inlineStr">
        <is>
          <t>🌐 Free Courses</t>
        </is>
      </c>
      <c r="B20" s="115" t="inlineStr">
        <is>
          <t>MongoDB University M001+M121</t>
        </is>
      </c>
      <c r="C20" s="116" t="inlineStr">
        <is>
          <t>Free Course</t>
        </is>
      </c>
      <c r="D20" s="115" t="inlineStr">
        <is>
          <t>learn.mongodb.com</t>
        </is>
      </c>
      <c r="E20" s="115" t="inlineStr">
        <is>
          <t>P4</t>
        </is>
      </c>
      <c r="F20" s="116" t="inlineStr">
        <is>
          <t>🔵 High</t>
        </is>
      </c>
    </row>
    <row r="21" ht="22" customHeight="1">
      <c r="A21" s="113" t="inlineStr">
        <is>
          <t>🌐 Free Courses</t>
        </is>
      </c>
      <c r="B21" s="55" t="inlineStr">
        <is>
          <t>Redis University RU101</t>
        </is>
      </c>
      <c r="C21" s="56" t="inlineStr">
        <is>
          <t>Free Course</t>
        </is>
      </c>
      <c r="D21" s="55" t="inlineStr">
        <is>
          <t>university.redis.com</t>
        </is>
      </c>
      <c r="E21" s="55" t="inlineStr">
        <is>
          <t>P4</t>
        </is>
      </c>
      <c r="F21" s="56" t="inlineStr">
        <is>
          <t>🔵 High</t>
        </is>
      </c>
    </row>
    <row r="22" ht="22" customHeight="1">
      <c r="A22" s="114" t="inlineStr">
        <is>
          <t>🌐 Free Courses</t>
        </is>
      </c>
      <c r="B22" s="115" t="inlineStr">
        <is>
          <t>Confluent Kafka Courses</t>
        </is>
      </c>
      <c r="C22" s="116" t="inlineStr">
        <is>
          <t>Free Course</t>
        </is>
      </c>
      <c r="D22" s="115" t="inlineStr">
        <is>
          <t>developer.confluent.io</t>
        </is>
      </c>
      <c r="E22" s="115" t="inlineStr">
        <is>
          <t>P9</t>
        </is>
      </c>
      <c r="F22" s="116" t="inlineStr">
        <is>
          <t>🔵 High</t>
        </is>
      </c>
    </row>
    <row r="23" ht="22" customHeight="1">
      <c r="A23" s="113" t="inlineStr">
        <is>
          <t>🌐 Free Courses</t>
        </is>
      </c>
      <c r="B23" s="55" t="inlineStr">
        <is>
          <t>KodeKloud Docker/K8s</t>
        </is>
      </c>
      <c r="C23" s="56" t="inlineStr">
        <is>
          <t>Free Course</t>
        </is>
      </c>
      <c r="D23" s="55" t="inlineStr">
        <is>
          <t>kodekloud.com (free tier)</t>
        </is>
      </c>
      <c r="E23" s="55" t="inlineStr">
        <is>
          <t>P15</t>
        </is>
      </c>
      <c r="F23" s="56" t="inlineStr">
        <is>
          <t>🔵 High</t>
        </is>
      </c>
    </row>
    <row r="24" ht="22" customHeight="1">
      <c r="A24" s="114" t="inlineStr">
        <is>
          <t>🌐 Free Courses</t>
        </is>
      </c>
      <c r="B24" s="115" t="inlineStr">
        <is>
          <t>Terraform Getting Started</t>
        </is>
      </c>
      <c r="C24" s="116" t="inlineStr">
        <is>
          <t>Docs</t>
        </is>
      </c>
      <c r="D24" s="115" t="inlineStr">
        <is>
          <t>developer.hashicorp.com/terraform</t>
        </is>
      </c>
      <c r="E24" s="115" t="inlineStr">
        <is>
          <t>P15</t>
        </is>
      </c>
      <c r="F24" s="116" t="inlineStr">
        <is>
          <t>🔵 High</t>
        </is>
      </c>
    </row>
    <row r="25" ht="22" customHeight="1">
      <c r="A25" s="113" t="inlineStr">
        <is>
          <t>🌐 Free Courses</t>
        </is>
      </c>
      <c r="B25" s="55" t="inlineStr">
        <is>
          <t>Kubernetes Official Tutorial</t>
        </is>
      </c>
      <c r="C25" s="56" t="inlineStr">
        <is>
          <t>Docs</t>
        </is>
      </c>
      <c r="D25" s="55" t="inlineStr">
        <is>
          <t>kubernetes.io/docs/tutorials</t>
        </is>
      </c>
      <c r="E25" s="55" t="inlineStr">
        <is>
          <t>P15</t>
        </is>
      </c>
      <c r="F25" s="56" t="inlineStr">
        <is>
          <t>🔵 High</t>
        </is>
      </c>
    </row>
    <row r="26" ht="22" customHeight="1">
      <c r="A26" s="114" t="inlineStr">
        <is>
          <t>🛠️ Tools</t>
        </is>
      </c>
      <c r="B26" s="115" t="inlineStr">
        <is>
          <t>System Design Primer GitHub</t>
        </is>
      </c>
      <c r="C26" s="116" t="inlineStr">
        <is>
          <t>GitHub Repo</t>
        </is>
      </c>
      <c r="D26" s="115" t="inlineStr">
        <is>
          <t>github.com/donnemartin/system-design-primer</t>
        </is>
      </c>
      <c r="E26" s="115" t="inlineStr">
        <is>
          <t>All Phases</t>
        </is>
      </c>
      <c r="F26" s="116" t="inlineStr">
        <is>
          <t>⭐ MUST USE</t>
        </is>
      </c>
    </row>
    <row r="27" ht="22" customHeight="1">
      <c r="A27" s="113" t="inlineStr">
        <is>
          <t>🛠️ Tools</t>
        </is>
      </c>
      <c r="B27" s="55" t="inlineStr">
        <is>
          <t>Jepsen.io</t>
        </is>
      </c>
      <c r="C27" s="56" t="inlineStr">
        <is>
          <t>Website</t>
        </is>
      </c>
      <c r="D27" s="55" t="inlineStr">
        <is>
          <t>jepsen.io</t>
        </is>
      </c>
      <c r="E27" s="55" t="inlineStr">
        <is>
          <t>P8</t>
        </is>
      </c>
      <c r="F27" s="56" t="inlineStr">
        <is>
          <t>🔵 High</t>
        </is>
      </c>
    </row>
    <row r="28" ht="22" customHeight="1">
      <c r="A28" s="114" t="inlineStr">
        <is>
          <t>🛠️ Tools</t>
        </is>
      </c>
      <c r="B28" s="115" t="inlineStr">
        <is>
          <t>explain.dalibo.com</t>
        </is>
      </c>
      <c r="C28" s="116" t="inlineStr">
        <is>
          <t>Query Visualizer</t>
        </is>
      </c>
      <c r="D28" s="115" t="inlineStr">
        <is>
          <t>explain.dalibo.com</t>
        </is>
      </c>
      <c r="E28" s="115" t="inlineStr">
        <is>
          <t>P3</t>
        </is>
      </c>
      <c r="F28" s="116" t="inlineStr">
        <is>
          <t>🔵 High</t>
        </is>
      </c>
    </row>
    <row r="29" ht="22" customHeight="1">
      <c r="A29" s="113" t="inlineStr">
        <is>
          <t>🛠️ Tools</t>
        </is>
      </c>
      <c r="B29" s="55" t="inlineStr">
        <is>
          <t>raft.github.io</t>
        </is>
      </c>
      <c r="C29" s="56" t="inlineStr">
        <is>
          <t>Visualization</t>
        </is>
      </c>
      <c r="D29" s="55" t="inlineStr">
        <is>
          <t>raft.github.io</t>
        </is>
      </c>
      <c r="E29" s="55" t="inlineStr">
        <is>
          <t>P8</t>
        </is>
      </c>
      <c r="F29" s="56" t="inlineStr">
        <is>
          <t>🔵 High</t>
        </is>
      </c>
    </row>
    <row r="30" ht="22" customHeight="1">
      <c r="A30" s="114" t="inlineStr">
        <is>
          <t>🛠️ Tools</t>
        </is>
      </c>
      <c r="B30" s="115" t="inlineStr">
        <is>
          <t>LeetCode</t>
        </is>
      </c>
      <c r="C30" s="116" t="inlineStr">
        <is>
          <t>Coding Practice</t>
        </is>
      </c>
      <c r="D30" s="115" t="inlineStr">
        <is>
          <t>leetcode.com</t>
        </is>
      </c>
      <c r="E30" s="115" t="inlineStr">
        <is>
          <t>SDE2 Extra</t>
        </is>
      </c>
      <c r="F30" s="116" t="inlineStr">
        <is>
          <t>⭐ MUST USE</t>
        </is>
      </c>
    </row>
    <row r="31" ht="22" customHeight="1">
      <c r="A31" s="113" t="inlineStr">
        <is>
          <t>🛠️ Tools</t>
        </is>
      </c>
      <c r="B31" s="55" t="inlineStr">
        <is>
          <t>NeetCode.io</t>
        </is>
      </c>
      <c r="C31" s="56" t="inlineStr">
        <is>
          <t>Coding + Video</t>
        </is>
      </c>
      <c r="D31" s="55" t="inlineStr">
        <is>
          <t>neetcode.io</t>
        </is>
      </c>
      <c r="E31" s="55" t="inlineStr">
        <is>
          <t>SDE2 Extra</t>
        </is>
      </c>
      <c r="F31" s="56" t="inlineStr">
        <is>
          <t>⭐ MUST USE</t>
        </is>
      </c>
    </row>
    <row r="32" ht="22" customHeight="1">
      <c r="A32" s="114" t="inlineStr">
        <is>
          <t>🛠️ Tools</t>
        </is>
      </c>
      <c r="B32" s="115" t="inlineStr">
        <is>
          <t>DeepWiki.com</t>
        </is>
      </c>
      <c r="C32" s="116" t="inlineStr">
        <is>
          <t>OSS Code Explainer</t>
        </is>
      </c>
      <c r="D32" s="115" t="inlineStr">
        <is>
          <t>deepwiki.com</t>
        </is>
      </c>
      <c r="E32" s="115" t="inlineStr">
        <is>
          <t>SDE2 Extra</t>
        </is>
      </c>
      <c r="F32" s="116" t="inlineStr">
        <is>
          <t>🔵 High</t>
        </is>
      </c>
    </row>
    <row r="33" ht="22" customHeight="1">
      <c r="A33" s="113" t="inlineStr">
        <is>
          <t>🛠️ Tools</t>
        </is>
      </c>
      <c r="B33" s="55" t="inlineStr">
        <is>
          <t>Claude / ChatGPT (Mock Interview)</t>
        </is>
      </c>
      <c r="C33" s="56" t="inlineStr">
        <is>
          <t>AI Tool</t>
        </is>
      </c>
      <c r="D33" s="55" t="inlineStr">
        <is>
          <t>claude.ai / chat.openai.com</t>
        </is>
      </c>
      <c r="E33" s="55" t="inlineStr">
        <is>
          <t>P16</t>
        </is>
      </c>
      <c r="F33" s="56" t="inlineStr">
        <is>
          <t>⭐ MUST USE</t>
        </is>
      </c>
    </row>
    <row r="34" ht="22" customHeight="1">
      <c r="A34" s="114" t="inlineStr">
        <is>
          <t>📄 Papers</t>
        </is>
      </c>
      <c r="B34" s="115" t="inlineStr">
        <is>
          <t>Google File System</t>
        </is>
      </c>
      <c r="C34" s="116" t="inlineStr">
        <is>
          <t>Paper</t>
        </is>
      </c>
      <c r="D34" s="115" t="inlineStr">
        <is>
          <t>research.google.com/archive/gfs.html</t>
        </is>
      </c>
      <c r="E34" s="115" t="inlineStr">
        <is>
          <t>P8, P15</t>
        </is>
      </c>
      <c r="F34" s="116" t="inlineStr">
        <is>
          <t>🔵 High</t>
        </is>
      </c>
    </row>
    <row r="35" ht="22" customHeight="1">
      <c r="A35" s="113" t="inlineStr">
        <is>
          <t>📄 Papers</t>
        </is>
      </c>
      <c r="B35" s="55" t="inlineStr">
        <is>
          <t>MapReduce (Google)</t>
        </is>
      </c>
      <c r="C35" s="56" t="inlineStr">
        <is>
          <t>Paper</t>
        </is>
      </c>
      <c r="D35" s="55" t="inlineStr">
        <is>
          <t>research.google.com/archive/mapreduce.html</t>
        </is>
      </c>
      <c r="E35" s="55" t="inlineStr">
        <is>
          <t>P9</t>
        </is>
      </c>
      <c r="F35" s="56" t="inlineStr">
        <is>
          <t>🔵 High</t>
        </is>
      </c>
    </row>
    <row r="36" ht="22" customHeight="1">
      <c r="A36" s="114" t="inlineStr">
        <is>
          <t>📄 Papers</t>
        </is>
      </c>
      <c r="B36" s="115" t="inlineStr">
        <is>
          <t>Dynamo (Amazon)</t>
        </is>
      </c>
      <c r="C36" s="116" t="inlineStr">
        <is>
          <t>Paper</t>
        </is>
      </c>
      <c r="D36" s="115" t="inlineStr">
        <is>
          <t>dl.acm.org</t>
        </is>
      </c>
      <c r="E36" s="115" t="inlineStr">
        <is>
          <t>P4, P8</t>
        </is>
      </c>
      <c r="F36" s="116" t="inlineStr">
        <is>
          <t>🔵 High</t>
        </is>
      </c>
    </row>
    <row r="37" ht="22" customHeight="1">
      <c r="A37" s="113" t="inlineStr">
        <is>
          <t>📄 Papers</t>
        </is>
      </c>
      <c r="B37" s="55" t="inlineStr">
        <is>
          <t>Raft Consensus</t>
        </is>
      </c>
      <c r="C37" s="56" t="inlineStr">
        <is>
          <t>Paper</t>
        </is>
      </c>
      <c r="D37" s="55" t="inlineStr">
        <is>
          <t>raft.github.io/raft.pdf</t>
        </is>
      </c>
      <c r="E37" s="55" t="inlineStr">
        <is>
          <t>P8</t>
        </is>
      </c>
      <c r="F37" s="56" t="inlineStr">
        <is>
          <t>⭐ MUST READ</t>
        </is>
      </c>
    </row>
    <row r="38" ht="22" customHeight="1">
      <c r="A38" s="114" t="inlineStr">
        <is>
          <t>📄 Papers</t>
        </is>
      </c>
      <c r="B38" s="115" t="inlineStr">
        <is>
          <t>Kafka Original Paper</t>
        </is>
      </c>
      <c r="C38" s="116" t="inlineStr">
        <is>
          <t>Paper</t>
        </is>
      </c>
      <c r="D38" s="115" t="inlineStr">
        <is>
          <t>kafka.apache.org/papers.html</t>
        </is>
      </c>
      <c r="E38" s="115" t="inlineStr">
        <is>
          <t>P9</t>
        </is>
      </c>
      <c r="F38" s="116" t="inlineStr">
        <is>
          <t>🔵 High</t>
        </is>
      </c>
    </row>
    <row r="39" ht="22" customHeight="1">
      <c r="A39" s="113" t="inlineStr">
        <is>
          <t>🔒 Security</t>
        </is>
      </c>
      <c r="B39" s="55" t="inlineStr">
        <is>
          <t>OWASP Top 10</t>
        </is>
      </c>
      <c r="C39" s="56" t="inlineStr">
        <is>
          <t>Website</t>
        </is>
      </c>
      <c r="D39" s="55" t="inlineStr">
        <is>
          <t>owasp.org/www-project-top-ten</t>
        </is>
      </c>
      <c r="E39" s="55" t="inlineStr">
        <is>
          <t>P13</t>
        </is>
      </c>
      <c r="F39" s="56" t="inlineStr">
        <is>
          <t>⭐ MUST READ</t>
        </is>
      </c>
    </row>
    <row r="40" ht="22" customHeight="1">
      <c r="A40" s="114" t="inlineStr">
        <is>
          <t>🔒 Security</t>
        </is>
      </c>
      <c r="B40" s="115" t="inlineStr">
        <is>
          <t>Portswigger Web Security Academy</t>
        </is>
      </c>
      <c r="C40" s="116" t="inlineStr">
        <is>
          <t>Free Course</t>
        </is>
      </c>
      <c r="D40" s="115" t="inlineStr">
        <is>
          <t>portswigger.net/web-security</t>
        </is>
      </c>
      <c r="E40" s="115" t="inlineStr">
        <is>
          <t>P13</t>
        </is>
      </c>
      <c r="F40" s="116" t="inlineStr">
        <is>
          <t>🔵 High</t>
        </is>
      </c>
    </row>
    <row r="41" ht="22" customHeight="1">
      <c r="A41" s="113" t="inlineStr">
        <is>
          <t>📊 Observability</t>
        </is>
      </c>
      <c r="B41" s="55" t="inlineStr">
        <is>
          <t>OpenTelemetry Docs</t>
        </is>
      </c>
      <c r="C41" s="56" t="inlineStr">
        <is>
          <t>Docs</t>
        </is>
      </c>
      <c r="D41" s="55" t="inlineStr">
        <is>
          <t>opentelemetry.io/docs</t>
        </is>
      </c>
      <c r="E41" s="55" t="inlineStr">
        <is>
          <t>P14</t>
        </is>
      </c>
      <c r="F41" s="56" t="inlineStr">
        <is>
          <t>🔵 High</t>
        </is>
      </c>
    </row>
    <row r="42" ht="22" customHeight="1">
      <c r="A42" s="114" t="inlineStr">
        <is>
          <t>📊 Observability</t>
        </is>
      </c>
      <c r="B42" s="115" t="inlineStr">
        <is>
          <t>Honeycomb Observability Engineering</t>
        </is>
      </c>
      <c r="C42" s="116" t="inlineStr">
        <is>
          <t>Free O'Reilly</t>
        </is>
      </c>
      <c r="D42" s="115" t="inlineStr">
        <is>
          <t>honeycomb.io/resources</t>
        </is>
      </c>
      <c r="E42" s="115" t="inlineStr">
        <is>
          <t>P14</t>
        </is>
      </c>
      <c r="F42" s="116" t="inlineStr">
        <is>
          <t>🔵 High</t>
        </is>
      </c>
    </row>
    <row r="43" ht="22" customHeight="1">
      <c r="A43" s="113" t="inlineStr">
        <is>
          <t>🧪 Practice</t>
        </is>
      </c>
      <c r="B43" s="55" t="inlineStr">
        <is>
          <t>microservices.io patterns</t>
        </is>
      </c>
      <c r="C43" s="56" t="inlineStr">
        <is>
          <t>Website</t>
        </is>
      </c>
      <c r="D43" s="55" t="inlineStr">
        <is>
          <t>microservices.io/patterns</t>
        </is>
      </c>
      <c r="E43" s="55" t="inlineStr">
        <is>
          <t>P10</t>
        </is>
      </c>
      <c r="F43" s="56" t="inlineStr">
        <is>
          <t>🔵 High</t>
        </is>
      </c>
    </row>
    <row r="44" ht="22" customHeight="1">
      <c r="A44" s="114" t="inlineStr">
        <is>
          <t>🧪 Practice</t>
        </is>
      </c>
      <c r="B44" s="115" t="inlineStr">
        <is>
          <t>Google API Design Guide</t>
        </is>
      </c>
      <c r="C44" s="116" t="inlineStr">
        <is>
          <t>Free Docs</t>
        </is>
      </c>
      <c r="D44" s="115" t="inlineStr">
        <is>
          <t>cloud.google.com/apis/design</t>
        </is>
      </c>
      <c r="E44" s="115" t="inlineStr">
        <is>
          <t>P5</t>
        </is>
      </c>
      <c r="F44" s="116" t="inlineStr">
        <is>
          <t>🔵 High</t>
        </is>
      </c>
    </row>
    <row r="45" ht="22" customHeight="1">
      <c r="A45" s="113" t="inlineStr">
        <is>
          <t>🧪 Practice</t>
        </is>
      </c>
      <c r="B45" s="55" t="inlineStr">
        <is>
          <t>HelloInterview free Answer Keys</t>
        </is>
      </c>
      <c r="C45" s="56" t="inlineStr">
        <is>
          <t>Website</t>
        </is>
      </c>
      <c r="D45" s="55" t="inlineStr">
        <is>
          <t>hellointerview.com</t>
        </is>
      </c>
      <c r="E45" s="55" t="inlineStr">
        <is>
          <t>P16</t>
        </is>
      </c>
      <c r="F45" s="56" t="inlineStr">
        <is>
          <t>🔵 High</t>
        </is>
      </c>
    </row>
    <row r="46" ht="22" customHeight="1">
      <c r="A46" s="114" t="inlineStr">
        <is>
          <t>🧪 Practice</t>
        </is>
      </c>
      <c r="B46" s="115" t="inlineStr">
        <is>
          <t>OverTheWire Bandit</t>
        </is>
      </c>
      <c r="C46" s="116" t="inlineStr">
        <is>
          <t>CTF / Labs</t>
        </is>
      </c>
      <c r="D46" s="115" t="inlineStr">
        <is>
          <t>overthewire.org/wargames/bandit</t>
        </is>
      </c>
      <c r="E46" s="115" t="inlineStr">
        <is>
          <t>P2</t>
        </is>
      </c>
      <c r="F46" s="116" t="inlineStr">
        <is>
          <t>🟡 Medium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2026-05-04T13:32:48Z</dcterms:created>
  <dcterms:modified xmlns:dcterms="http://purl.org/dc/terms/" xmlns:xsi="http://www.w3.org/2001/XMLSchema-instance" xsi:type="dcterms:W3CDTF">2026-05-04T13:32:49Z</dcterms:modified>
</cp:coreProperties>
</file>